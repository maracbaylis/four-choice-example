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2184b762d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971275c552a64000"/>
    <x:sheet xmlns:r="http://schemas.openxmlformats.org/officeDocument/2006/relationships" name="WEIGHT" sheetId="2" r:id="Rad28a5c5cb64450a"/>
    <x:sheet xmlns:r="http://schemas.openxmlformats.org/officeDocument/2006/relationships" name="ACCLIM" sheetId="3" r:id="R8b895e00935c4a1d"/>
    <x:sheet xmlns:r="http://schemas.openxmlformats.org/officeDocument/2006/relationships" name="SHAPE" sheetId="4" r:id="R601e1667a3ce4b3c"/>
    <x:sheet xmlns:r="http://schemas.openxmlformats.org/officeDocument/2006/relationships" name="DISC" sheetId="5" r:id="R7306972abec34ef5"/>
    <x:sheet xmlns:r="http://schemas.openxmlformats.org/officeDocument/2006/relationships" name="RECALL" sheetId="6" r:id="R007d940eaa184d8d"/>
    <x:sheet xmlns:r="http://schemas.openxmlformats.org/officeDocument/2006/relationships" name="REV" sheetId="7" r:id="R875888f46c244407"/>
    <x:sheet xmlns:r="http://schemas.openxmlformats.org/officeDocument/2006/relationships" name="SUMMARY" sheetId="8" r:id="R550a006282cb4bee"/>
  </x:sheets>
</x:workbook>
</file>

<file path=xl/sharedStrings.xml><?xml version="1.0" encoding="utf-8"?>
<x:sst xmlns:x="http://schemas.openxmlformats.org/spreadsheetml/2006/main">
  <x:si>
    <x:t xml:space="preserve">Four Choice Reporting METADATA</x:t>
  </x:si>
  <x:si>
    <x:t xml:space="preserve">SECTION 1 — Animal Info</x:t>
  </x:si>
  <x:si>
    <x:t xml:space="preserve">Animal ID: (XXX001)</x:t>
  </x:si>
  <x:si>
    <x:t xml:space="preserve">Strain</x:t>
  </x:si>
  <x:si>
    <x:t xml:space="preserve">DOB (mm/dd/yyyy)</x:t>
  </x:si>
  <x:si>
    <x:t xml:space="preserve"># Of Mice In Homecage At Testing</x:t>
  </x:si>
  <x:si>
    <x:t xml:space="preserve">Adversity Condition</x:t>
  </x:si>
  <x:si>
    <x:t xml:space="preserve">Food Restriction</x:t>
  </x:si>
  <x:si>
    <x:t xml:space="preserve">Genotype</x:t>
  </x:si>
  <x:si>
    <x:t xml:space="preserve"># Of Mice In Birth Litter ~P05-20</x:t>
  </x:si>
  <x:si>
    <x:t xml:space="preserve">Rank in Homecage</x:t>
  </x:si>
  <x:si>
    <x:t xml:space="preserve">Adversity Age Range (PXX-XX)</x:t>
  </x:si>
  <x:si>
    <x:t xml:space="preserve">Vendor</x:t>
  </x:si>
  <x:si>
    <x:t xml:space="preserve">Jackson</x:t>
  </x:si>
  <x:si>
    <x:t xml:space="preserve">P20-22 Weight</x:t>
  </x:si>
  <x:si>
    <x:t xml:space="preserve">Homecage Nesting Material (Y/N)</x:t>
  </x:si>
  <x:si>
    <x:t xml:space="preserve">Experiment Cohort</x:t>
  </x:si>
  <x:si>
    <x:t xml:space="preserve">Bred On Site or Shipped</x:t>
  </x:si>
  <x:si>
    <x:t xml:space="preserve">Shipped</x:t>
  </x:si>
  <x:si>
    <x:t xml:space="preserve">Age at Weaning (P)</x:t>
  </x:si>
  <x:si>
    <x:t xml:space="preserve">Homecage Hut (Y/N)</x:t>
  </x:si>
  <x:si>
    <x:t xml:space="preserve">Sex (M/F)</x:t>
  </x:si>
  <x:si>
    <x:t xml:space="preserve">M</x:t>
  </x:si>
  <x:si>
    <x:t xml:space="preserve">Shipping Arrival Age (P)</x:t>
  </x:si>
  <x:si>
    <x:t xml:space="preserve">Homecage Chewing material (Y/N)</x:t>
  </x:si>
  <x:si>
    <x:t xml:space="preserve">SECTION 2 — Experiment Info</x:t>
  </x:si>
  <x:si>
    <x:t xml:space="preserve">Lab and University</x:t>
  </x:si>
  <x:si>
    <x:t xml:space="preserve">Wilbrecht; UC Berkeley</x:t>
  </x:si>
  <x:si>
    <x:t xml:space="preserve">Testing Shavings Used (aspen, pine)</x:t>
  </x:si>
  <x:si>
    <x:t xml:space="preserve">Aspen</x:t>
  </x:si>
  <x:si>
    <x:t xml:space="preserve">Testing in Dark or Light Phase</x:t>
  </x:si>
  <x:si>
    <x:t xml:space="preserve">Dark</x:t>
  </x:si>
  <x:si>
    <x:t xml:space="preserve">Reinforcer Used (Bioserv/Cheerio)</x:t>
  </x:si>
  <x:si>
    <x:t xml:space="preserve">Cheerio</x:t>
  </x:si>
  <x:si>
    <x:t xml:space="preserve">Colony Bedding</x:t>
  </x:si>
  <x:si>
    <x:t xml:space="preserve">Testing Shavings Manufacturer</x:t>
  </x:si>
  <x:si>
    <x:t xml:space="preserve">Kaytee</x:t>
  </x:si>
  <x:si>
    <x:t xml:space="preserve">Lumens in Testing Room</x:t>
  </x:si>
  <x:si>
    <x:t xml:space="preserve">Reinforcer size (mg)</x:t>
  </x:si>
  <x:si>
    <x:t xml:space="preserve">Colony Light Cycle (e.g 12:12)</x:t>
  </x:si>
  <x:si>
    <x:t xml:space="preserve">Testing Arena Inner Dimensions (LxWxH)</x:t>
  </x:si>
  <x:si>
    <x:t xml:space="preserve">Video taken of Discrimination (Y/N)</x:t>
  </x:si>
  <x:si>
    <x:t xml:space="preserve">N</x:t>
  </x:si>
  <x:si>
    <x:t xml:space="preserve">Experimenter</x:t>
  </x:si>
  <x:si>
    <x:t xml:space="preserve">Han-Ning Lu</x:t>
  </x:si>
  <x:si>
    <x:t xml:space="preserve">Colony Lights On Time (AM/PM)</x:t>
  </x:si>
  <x:si>
    <x:t xml:space="preserve">Testing Ramekin Diameter(")</x:t>
  </x:si>
  <x:si>
    <x:t xml:space="preserve">Video taken of Recall (Y/N)</x:t>
  </x:si>
  <x:si>
    <x:t xml:space="preserve">Y</x:t>
  </x:si>
  <x:si>
    <x:t xml:space="preserve">Experimenter Gender</x:t>
  </x:si>
  <x:si>
    <x:t xml:space="preserve">Colony Chow Brand Fed</x:t>
  </x:si>
  <x:si>
    <x:t xml:space="preserve">Testing Ramekins Sham Baited (Y/N)</x:t>
  </x:si>
  <x:si>
    <x:t xml:space="preserve">Video taken of Reversal (Y/N)</x:t>
  </x:si>
  <x:si>
    <x:t xml:space="preserve">Video Frame Rate (FPS)</x:t>
  </x:si>
  <x:si>
    <x:t xml:space="preserve">Video Resolution</x:t>
  </x:si>
  <x:si>
    <x:t xml:space="preserve">SECTION 3 — Weight Tracking</x:t>
  </x:si>
  <x:si>
    <x:t xml:space="preserve">Experimental Day</x:t>
  </x:si>
  <x:si>
    <x:t xml:space="preserve">Day 0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</x:si>
  <x:si>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</x:si>
  <x:si>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</x:si>
  <x:si>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</x:si>
  <x:si>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</x:si>
  <x:si>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</x:si>
  <x:si>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</x:si>
  <x:si>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Stage</x:t>
  </x:si>
  <x:si>
    <x:t xml:space="preserve">Initial Weighing</x:t>
  </x:si>
  <x:si>
    <x:t xml:space="preserve">Food Restriction + Handling</x:t>
  </x:si>
  <x:si>
    <x:t xml:space="preserve">Food Restriction + Acclimation</x:t>
  </x:si>
  <x:si>
    <x:t xml:space="preserve">Food Restriction + Shaping</x:t>
  </x:si>
  <x:si>
    <x:t xml:space="preserve">Food Restriction + Testing</x:t>
  </x:si>
  <x:si>
    <x:t xml:space="preserve">Testing</x:t>
  </x:si>
  <x:si>
    <x:t xml:space="preserve">Date</x:t>
  </x:si>
  <x:si>
    <x:t xml:space="preserve">Time</x:t>
  </x:si>
  <x:si>
    <x:t xml:space="preserve">N/A</x:t>
  </x:si>
  <x:si>
    <x:t xml:space="preserve">21:30-21:59</x:t>
  </x:si>
  <x:si>
    <x:t xml:space="preserve">Zeitgeber time (ZT)</x:t>
  </x:si>
  <x:si>
    <x:t xml:space="preserve">Age (P)</x:t>
  </x:si>
  <x:si>
    <x:t xml:space="preserve">Weight (g)</x:t>
  </x:si>
  <x:si>
    <x:t xml:space="preserve">% from baseline</x:t>
  </x:si>
  <x:si>
    <x:t xml:space="preserve">SECTION 4 — Day 3: Acclimation</x:t>
  </x:si>
  <x:si>
    <x:t xml:space="preserve">Experimenter:</x:t>
  </x:si>
  <x:si>
    <x:t xml:space="preserve">HL</x:t>
  </x:si>
  <x:si>
    <x:t xml:space="preserve">Start time:</x:t>
  </x:si>
  <x:si>
    <x:t xml:space="preserve">Start time (ZT):</x:t>
  </x:si>
  <x:si>
    <x:t xml:space="preserve">Date:</x:t>
  </x:si>
  <x:si>
    <x:t xml:space="preserve">End time:</x:t>
  </x:si>
  <x:si>
    <x:t xml:space="preserve">End time (ZT):</x:t>
  </x:si>
  <x:si>
    <x:t xml:space="preserve">Fill in Seconds</x:t>
  </x:si>
  <x:si>
    <x:t xml:space="preserve">Round</x:t>
  </x:si>
  <x:si>
    <x:t xml:space="preserve">Time to eat NW (1)</x:t>
  </x:si>
  <x:si>
    <x:t xml:space="preserve">Time to eat NE (2)</x:t>
  </x:si>
  <x:si>
    <x:t xml:space="preserve">Time to eat SW (3)</x:t>
  </x:si>
  <x:si>
    <x:t xml:space="preserve">Time to eat SE (4)</x:t>
  </x:si>
  <x:si>
    <x:t xml:space="preserve">Number of Pellets Eaten</x:t>
  </x:si>
  <x:si>
    <x:t xml:space="preserve">Notes</x:t>
  </x:si>
  <x:si>
    <x:t xml:space="preserve">Round 1</x:t>
  </x:si>
  <x:si>
    <x:t xml:space="preserve">307</x:t>
  </x:si>
  <x:si>
    <x:t xml:space="preserve">178</x:t>
  </x:si>
  <x:si>
    <x:t xml:space="preserve">258</x:t>
  </x:si>
  <x:si>
    <x:t xml:space="preserve">147</x:t>
  </x:si>
  <x:si>
    <x:t xml:space="preserve">4</x:t>
  </x:si>
  <x:si>
    <x:t xml:space="preserve">task run at same time as reversal</x:t>
  </x:si>
  <x:si>
    <x:t xml:space="preserve">Round 2</x:t>
  </x:si>
  <x:si>
    <x:t xml:space="preserve">158</x:t>
  </x:si>
  <x:si>
    <x:t xml:space="preserve">n/a</x:t>
  </x:si>
  <x:si>
    <x:t xml:space="preserve">599</x:t>
  </x:si>
  <x:si>
    <x:t xml:space="preserve">45</x:t>
  </x:si>
  <x:si>
    <x:t xml:space="preserve">3</x:t>
  </x:si>
  <x:si>
    <x:t xml:space="preserve">Round 3</x:t>
  </x:si>
  <x:si>
    <x:t xml:space="preserve">513</x:t>
  </x:si>
  <x:si>
    <x:t xml:space="preserve">560</x:t>
  </x:si>
  <x:si>
    <x:t xml:space="preserve">322</x:t>
  </x:si>
  <x:si>
    <x:t xml:space="preserve">62</x:t>
  </x:si>
  <x:si>
    <x:t xml:space="preserve">SECTION 5 — Day 4: Shaping</x:t>
  </x:si>
  <x:si>
    <x:t xml:space="preserve">Trial</x:t>
  </x:si>
  <x:si>
    <x:t xml:space="preserve">Bedding Level</x:t>
  </x:si>
  <x:si>
    <x:t xml:space="preserve">Ramekin Position</x:t>
  </x:si>
  <x:si>
    <x:t xml:space="preserve">Time to dig (s)</x:t>
  </x:si>
  <x:si>
    <x:t xml:space="preserve">Time to eat (s)</x:t>
  </x:si>
  <x:si>
    <x:t xml:space="preserve">Empty Bowl</x:t>
  </x:si>
  <x:si>
    <x:t xml:space="preserve">SE</x:t>
  </x:si>
  <x:si>
    <x:r>
      <x:rPr>
        <x:b/>
        <x:sz val="11"/>
        <x:color theme="1"/>
        <x:rFont val="Aptos Narrow"/>
      </x:rPr>
      <x:t xml:space="preserve">Empty </x:t>
    </x:r>
    <x:r>
      <x:rPr>
        <x:b/>
        <x:sz val="11"/>
        <x:color theme="1"/>
        <x:rFont val="Aptos Narrow"/>
      </x:rPr>
      <x:t xml:space="preserve">→ Dusting</x:t>
    </x:r>
  </x:si>
  <x:si>
    <x:t xml:space="preserve">NW</x:t>
  </x:si>
  <x:si>
    <x:t xml:space="preserve">Dusting (cover bottom)</x:t>
  </x:si>
  <x:si>
    <x:t xml:space="preserve">SW</x:t>
  </x:si>
  <x:si>
    <x:t xml:space="preserve">Dusting (cover pellet)</x:t>
  </x:si>
  <x:si>
    <x:t xml:space="preserve">NE</x:t>
  </x:si>
  <x:si>
    <x:t xml:space="preserve">Dusting → 1/4 full</x:t>
  </x:si>
  <x:si>
    <x:t xml:space="preserve">At least 1/4 full</x:t>
  </x:si>
  <x:si>
    <x:t xml:space="preserve">1/2 full</x:t>
  </x:si>
  <x:si>
    <x:t xml:space="preserve">3/4 full</x:t>
  </x:si>
  <x:si>
    <x:t xml:space="preserve">Full</x:t>
  </x:si>
  <x:si>
    <x:t xml:space="preserve">SECTION 6 — Day 5: Testing (Discrimination)</x:t>
  </x:si>
  <x:si>
    <x:t xml:space="preserve">Trial Type:</x:t>
  </x:si>
  <x:si>
    <x:t xml:space="preserve">Discrimination</x:t>
  </x:si>
  <x:si>
    <x:t xml:space="preserve">Rewarded:</x:t>
  </x:si>
  <x:si>
    <x:t xml:space="preserve">Anise</x:t>
  </x:si>
  <x:si>
    <x:t xml:space="preserve">Odors:</x:t>
  </x:si>
  <x:si>
    <x:t xml:space="preserve">A: Anise</x:t>
  </x:si>
  <x:si>
    <x:t xml:space="preserve">B: Cinnamon</x:t>
  </x:si>
  <x:si>
    <x:t xml:space="preserve">C: Lemon</x:t>
  </x:si>
  <x:si>
    <x:t xml:space="preserve">D: Vanilla</x:t>
  </x:si>
  <x:si>
    <x:t xml:space="preserve">Ramekin Order
(NW, NE, SW, SE)</x:t>
  </x:si>
  <x:si>
    <x:t xml:space="preserve">Quadrant Chosen</x:t>
  </x:si>
  <x:si>
    <x:t xml:space="preserve">Odor Chosen</x:t>
  </x:si>
  <x:si>
    <x:t xml:space="preserve">Correct?</x:t>
  </x:si>
  <x:si>
    <x:t xml:space="preserve">Latency (s)</x:t>
  </x:si>
  <x:si>
    <x:t xml:space="preserve">Entry Sequence</x:t>
  </x:si>
  <x:si>
    <x:t xml:space="preserve">Odor Sequences</x:t>
  </x:si>
  <x:si>
    <x:t xml:space="preserve">ABCD</x:t>
  </x:si>
  <x:si>
    <x:t xml:space="preserve">Omit</x:t>
  </x:si>
  <x:si>
    <x:t xml:space="preserve">12431243423124232321424231434314243141242</x:t>
  </x:si>
  <x:si>
    <x:t xml:space="preserve">BCDA</x:t>
  </x:si>
  <x:si>
    <x:t xml:space="preserve">B</x:t>
  </x:si>
  <x:si>
    <x:t xml:space="preserve">432123123214</x:t>
  </x:si>
  <x:si>
    <x:t xml:space="preserve">CDAB</x:t>
  </x:si>
  <x:si>
    <x:t xml:space="preserve">2412341324242423142414241232</x:t>
  </x:si>
  <x:si>
    <x:t xml:space="preserve">groom</x:t>
  </x:si>
  <x:si>
    <x:t xml:space="preserve">DABC</x:t>
  </x:si>
  <x:si>
    <x:t xml:space="preserve">D</x:t>
  </x:si>
  <x:si>
    <x:t xml:space="preserve">1431</x:t>
  </x:si>
  <x:si>
    <x:t xml:space="preserve">A</x:t>
  </x:si>
  <x:si>
    <x:t xml:space="preserve">314241</x:t>
  </x:si>
  <x:si>
    <x:t xml:space="preserve">groom and 3:00 reminder</x:t>
  </x:si>
  <x:si>
    <x:t xml:space="preserve">124141241234141</x:t>
  </x:si>
  <x:si>
    <x:t xml:space="preserve">2341242</x:t>
  </x:si>
  <x:si>
    <x:t xml:space="preserve">2142412321412424242</x:t>
  </x:si>
  <x:si>
    <x:t xml:space="preserve">41242313214132</x:t>
  </x:si>
  <x:si>
    <x:t xml:space="preserve">32124212142412131414131</x:t>
  </x:si>
  <x:si>
    <x:t xml:space="preserve">31242412</x:t>
  </x:si>
  <x:si>
    <x:t xml:space="preserve">1312</x:t>
  </x:si>
  <x:si>
    <x:t xml:space="preserve">1324314241242</x:t>
  </x:si>
  <x:si>
    <x:t xml:space="preserve">3242414</x:t>
  </x:si>
  <x:si>
    <x:t xml:space="preserve">3124124213</x:t>
  </x:si>
  <x:si>
    <x:t xml:space="preserve">4312431312</x:t>
  </x:si>
  <x:si>
    <x:t xml:space="preserve">groom after choice</x:t>
  </x:si>
  <x:si>
    <x:t xml:space="preserve">32434</x:t>
  </x:si>
  <x:si>
    <x:t xml:space="preserve">3124124124324</x:t>
  </x:si>
  <x:si>
    <x:t xml:space="preserve">43234123241424212314212412</x:t>
  </x:si>
  <x:si>
    <x:t xml:space="preserve">4312</x:t>
  </x:si>
  <x:si>
    <x:t xml:space="preserve">12412432421</x:t>
  </x:si>
  <x:si>
    <x:t xml:space="preserve">31434</x:t>
  </x:si>
  <x:si>
    <x:t xml:space="preserve">24324</x:t>
  </x:si>
  <x:si>
    <x:t xml:space="preserve">2</x:t>
  </x:si>
  <x:si>
    <x:t xml:space="preserve">314</x:t>
  </x:si>
  <x:si>
    <x:t xml:space="preserve">1242434</x:t>
  </x:si>
  <x:si>
    <x:t xml:space="preserve">312412</x:t>
  </x:si>
  <x:si>
    <x:t xml:space="preserve">412</x:t>
  </x:si>
  <x:si>
    <x:t xml:space="preserve">2431212424212434</x:t>
  </x:si>
  <x:si>
    <x:t xml:space="preserve">31</x:t>
  </x:si>
  <x:si>
    <x:t xml:space="preserve">243</x:t>
  </x:si>
  <x:si>
    <x:t xml:space="preserve">4312412</x:t>
  </x:si>
  <x:si>
    <x:t xml:space="preserve">2412341</x:t>
  </x:si>
  <x:si>
    <x:t xml:space="preserve">42</x:t>
  </x:si>
  <x:si>
    <x:t xml:space="preserve">3124143</x:t>
  </x:si>
  <x:si>
    <x:t xml:space="preserve">1231</x:t>
  </x:si>
  <x:si>
    <x:t xml:space="preserve">234324</x:t>
  </x:si>
  <x:si>
    <x:t xml:space="preserve">SECTION 7 — Day 6: Testing (Recall)</x:t>
  </x:si>
  <x:si>
    <x:t xml:space="preserve">1243412431242413134242414</x:t>
  </x:si>
  <x:si>
    <x:t xml:space="preserve">3421424324</x:t>
  </x:si>
  <x:si>
    <x:t xml:space="preserve">243131423123</x:t>
  </x:si>
  <x:si>
    <x:t xml:space="preserve">3124131312</x:t>
  </x:si>
  <x:si>
    <x:t xml:space="preserve">143424241</x:t>
  </x:si>
  <x:si>
    <x:t xml:space="preserve">24</x:t>
  </x:si>
  <x:si>
    <x:t xml:space="preserve">14143</x:t>
  </x:si>
  <x:si>
    <x:t xml:space="preserve">342</x:t>
  </x:si>
  <x:si>
    <x:t xml:space="preserve">321</x:t>
  </x:si>
  <x:si>
    <x:t xml:space="preserve">2434214</x:t>
  </x:si>
  <x:si>
    <x:t xml:space="preserve">SECTION 8 — Day 6: Testing (Reversal)</x:t>
  </x:si>
  <x:si>
    <x:t xml:space="preserve">Reversal</x:t>
  </x:si>
  <x:si>
    <x:t xml:space="preserve">Cinnamon</x:t>
  </x:si>
  <x:si>
    <x:t xml:space="preserve">D: Mint</x:t>
  </x:si>
  <x:si>
    <x:t xml:space="preserve">Error Type</x:t>
  </x:si>
  <x:si>
    <x:t xml:space="preserve">312431241</x:t>
  </x:si>
  <x:si>
    <x:t xml:space="preserve">31342134</x:t>
  </x:si>
  <x:si>
    <x:t xml:space="preserve">124</x:t>
  </x:si>
  <x:si>
    <x:t xml:space="preserve">1242</x:t>
  </x:si>
  <x:si>
    <x:t xml:space="preserve">2431</x:t>
  </x:si>
  <x:si>
    <x:t xml:space="preserve">2414</x:t>
  </x:si>
  <x:si>
    <x:t xml:space="preserve">31242</x:t>
  </x:si>
  <x:si>
    <x:t xml:space="preserve">3431</x:t>
  </x:si>
  <x:si>
    <x:t xml:space="preserve">see video time:16:14</x:t>
  </x:si>
  <x:si>
    <x:t xml:space="preserve">2124</x:t>
  </x:si>
  <x:si>
    <x:t xml:space="preserve">412424</x:t>
  </x:si>
  <x:si>
    <x:t xml:space="preserve">43142</x:t>
  </x:si>
  <x:si>
    <x:t xml:space="preserve">312</x:t>
  </x:si>
  <x:si>
    <x:t xml:space="preserve">431</x:t>
  </x:si>
  <x:si>
    <x:t xml:space="preserve">34</x:t>
  </x:si>
  <x:si>
    <x:t xml:space="preserve">14</x:t>
  </x:si>
  <x:si>
    <x:t xml:space="preserve">C</x:t>
  </x:si>
  <x:si>
    <x:t xml:space="preserve">414</x:t>
  </x:si>
  <x:si>
    <x:t xml:space="preserve">242</x:t>
  </x:si>
  <x:si>
    <x:t xml:space="preserve">3131343431</x:t>
  </x:si>
  <x:si>
    <x:t xml:space="preserve">42421</x:t>
  </x:si>
  <x:si>
    <x:t xml:space="preserve">12432424</x:t>
  </x:si>
  <x:si>
    <x:t xml:space="preserve">413</x:t>
  </x:si>
  <x:si>
    <x:t xml:space="preserve">434342</x:t>
  </x:si>
  <x:si>
    <x:t xml:space="preserve">431431</x:t>
  </x:si>
  <x:si>
    <x:t xml:space="preserve">131432</x:t>
  </x:si>
  <x:si>
    <x:t xml:space="preserve">2424243</x:t>
  </x:si>
  <x:si>
    <x:t xml:space="preserve">SECTION 9 — Summary</x:t>
  </x:si>
  <x:si>
    <x:t xml:space="preserve">DISC</x:t>
  </x:si>
  <x:si>
    <x:t xml:space="preserve">RECALL</x:t>
  </x:si>
  <x:si>
    <x:t xml:space="preserve">REV</x:t>
  </x:si>
  <x:si>
    <x:t xml:space="preserve">Trials to Criterion:</x:t>
  </x:si>
  <x:si>
    <x:t xml:space="preserve">Total correct:</x:t>
  </x:si>
  <x:si>
    <x:t xml:space="preserve">Total errors:</x:t>
  </x:si>
  <x:si>
    <x:t xml:space="preserve">Trials to Criterion After 1 Correct:</x:t>
  </x:si>
  <x:si>
    <x:t xml:space="preserve">Number of Errors Before 1 Correct</x:t>
  </x:si>
  <x:si>
    <x:t xml:space="preserve">Number of Errors After 1 Correct</x:t>
  </x:si>
  <x:si>
    <x:t xml:space="preserve">Number of omissions:</x:t>
  </x:si>
  <x:si>
    <x:t xml:space="preserve">Total Latency (s):</x:t>
  </x:si>
  <x:si>
    <x:t xml:space="preserve">Mean Latency (s):</x:t>
  </x:si>
  <x:si>
    <x:t xml:space="preserve">Mean Latency in Correct Trials (s):</x:t>
  </x:si>
  <x:si>
    <x:t xml:space="preserve">Mean Latency in Incorrect Trials (s):</x:t>
  </x:si>
  <x:si>
    <x:t xml:space="preserve"># of Repeating the Previous Odor Choice:</x:t>
  </x:si>
  <x:si>
    <x:t xml:space="preserve"># of Repeating the Previous Quadrant Choice:</x:t>
  </x:si>
  <x:si>
    <x:t xml:space="preserve">Total Number of A Entries:</x:t>
  </x:si>
  <x:si>
    <x:t xml:space="preserve">Total Number of B Entries:</x:t>
  </x:si>
  <x:si>
    <x:t xml:space="preserve">Total Number of C Entries:</x:t>
  </x:si>
  <x:si>
    <x:t xml:space="preserve">Total Number of D Entries:</x:t>
  </x:si>
  <x:si>
    <x:t xml:space="preserve"># of First Entry as Choice:</x:t>
  </x:si>
  <x:si>
    <x:t xml:space="preserve">Mean Number of Entries in Correct Trials:</x:t>
  </x:si>
  <x:si>
    <x:t xml:space="preserve">Mean Number of Entries in Incorrect Trials:</x:t>
  </x:si>
  <x:si>
    <x:t xml:space="preserve">Mean Number of Entries in Omission Trials:</x:t>
  </x:si>
  <x:si>
    <x:t xml:space="preserve">Total reversal errors (Reversal only):</x:t>
  </x:si>
  <x:si>
    <x:t xml:space="preserve">Perseverative errors (Reversal only):</x:t>
  </x:si>
  <x:si>
    <x:t xml:space="preserve">Regressive errors (Reversal only):</x:t>
  </x:si>
  <x:si>
    <x:t xml:space="preserve">Irrelevant errors (O3) (Reversal only):</x:t>
  </x:si>
  <x:si>
    <x:t xml:space="preserve">Novel errors (O4 (Reversal only):</x:t>
  </x:si>
</x:sst>
</file>

<file path=xl/styles.xml><?xml version="1.0" encoding="utf-8"?>
<x:styleSheet xmlns:x="http://schemas.openxmlformats.org/spreadsheetml/2006/main">
  <x:numFmts count="4">
    <x:numFmt numFmtId="164" formatCode="h:mm:ss am/pm"/>
    <x:numFmt numFmtId="165" formatCode="mm&quot;/&quot;dd&quot;/&quot;yyyy"/>
    <x:numFmt numFmtId="166" formatCode="0.0"/>
    <x:numFmt numFmtId="167" formatCode="0.0%"/>
  </x:numFmts>
  <x:fonts count="18">
    <x:font>
      <x:sz val="11"/>
      <x:color theme="1"/>
      <x:name val="Aptos Narrow"/>
    </x:font>
    <x:font>
      <x:b/>
      <x:sz val="16"/>
      <x:color rgb="FFFFFFFF"/>
      <x:name val="Arial"/>
    </x:font>
    <x:font/>
    <x:font>
      <x:b/>
      <x:sz val="12"/>
      <x:color rgb="FFFFFFFF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Arial"/>
    </x:font>
    <x:font>
      <x:b/>
      <x:sz val="11"/>
      <x:color theme="1"/>
      <x:name val="Arial"/>
    </x:font>
    <x:font>
      <x:b/>
      <x:sz val="12"/>
      <x:color rgb="FFFFFFFF"/>
      <x:name val="Arial"/>
    </x:font>
    <x:font>
      <x:sz val="11"/>
      <x:color rgb="FFFF0000"/>
      <x:name val="Arial"/>
    </x:font>
    <x:font>
      <x:b/>
      <x:sz val="11"/>
      <x:color rgb="FFFFFFFF"/>
      <x:name val="Aptos Narrow"/>
    </x:font>
    <x:font>
      <x:b/>
      <x:sz val="11"/>
      <x:color rgb="FFFFFFFF"/>
      <x:name val="Arial"/>
    </x:font>
    <x:font>
      <x:color theme="1"/>
      <x:name val="Aptos Narrow"/>
    </x:font>
    <x:font>
      <x:sz val="11"/>
      <x:color rgb="FF000000"/>
      <x:name val="Aptos Narrow"/>
    </x:font>
    <x:font>
      <x:sz val="11"/>
      <x:color rgb="FF9C0006"/>
      <x:name val="Aptos Narrow"/>
    </x:font>
    <x:font>
      <x:sz val="11"/>
      <x:color rgb="FF006100"/>
      <x:name val="Aptos Narrow"/>
    </x:font>
    <x:font>
      <x:sz val="11"/>
      <x:color rgb="FF974706"/>
      <x:name val="Aptos Narrow"/>
    </x:font>
    <x:font>
      <x:sz val="11"/>
      <x:color rgb="FF7F6000"/>
      <x:name val="Aptos Narrow"/>
    </x:font>
  </x:fonts>
  <x:fills count="12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 applyFont="1" applyAlignment="1"/>
  </x:cellStyleXfs>
  <x:cellXfs count="7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3" fillId="3" borderId="1" xfId="0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3" xfId="0" applyFont="1" applyFill="1" applyBorder="1" applyAlignment="1">
      <x:alignment horizontal="center"/>
    </x:xf>
    <x:xf numFmtId="0" fontId="6" fillId="0" borderId="3" xfId="0" applyFont="1" applyBorder="1" applyAlignment="1">
      <x:alignment horizontal="center"/>
    </x:xf>
    <x:xf numFmtId="164" fontId="6" fillId="0" borderId="3" xfId="0" applyNumberFormat="1" applyFont="1" applyBorder="1" applyAlignment="1">
      <x:alignment horizontal="center" vertical="bottom"/>
    </x:xf>
    <x:xf numFmtId="0" fontId="5" fillId="4" borderId="3" xfId="0" applyFont="1" applyFill="1" applyBorder="1" applyAlignment="1">
      <x:alignment horizontal="center" wrapText="1"/>
    </x:xf>
    <x:xf numFmtId="0" fontId="4" fillId="0" borderId="0" xfId="0" applyFont="1"/>
    <x:xf numFmtId="0" fontId="7" fillId="4" borderId="3" xfId="0" applyFont="1" applyFill="1" applyBorder="1" applyAlignment="1">
      <x:alignment horizontal="center" wrapText="1"/>
    </x:xf>
    <x:xf numFmtId="0" fontId="8" fillId="3" borderId="1" xfId="0" applyFont="1" applyFill="1" applyBorder="1" applyAlignment="1">
      <x:alignment horizontal="center" vertical="center"/>
    </x:xf>
    <x:xf numFmtId="165" fontId="6" fillId="0" borderId="3" xfId="0" applyNumberFormat="1" applyFont="1" applyBorder="1" applyAlignment="1">
      <x:alignment horizontal="center"/>
    </x:xf>
    <x:xf numFmtId="18" fontId="4" fillId="5" borderId="3" xfId="0" applyNumberFormat="1" applyFont="1" applyFill="1" applyBorder="1" applyAlignment="1">
      <x:alignment horizontal="center"/>
    </x:xf>
    <x:xf numFmtId="165" fontId="6" fillId="0" borderId="3" xfId="0" applyNumberFormat="1" applyFont="1" applyBorder="1" applyAlignment="1">
      <x:alignment horizontal="center" vertical="bottom"/>
    </x:xf>
    <x:xf numFmtId="164" fontId="6" fillId="0" borderId="3" xfId="0" applyNumberFormat="1" applyFont="1" applyBorder="1" applyAlignment="1">
      <x:alignment horizontal="center"/>
    </x:xf>
    <x:xf numFmtId="0" fontId="7" fillId="4" borderId="3" xfId="0" applyFont="1" applyFill="1" applyBorder="1" applyAlignment="1">
      <x:alignment horizontal="center"/>
    </x:xf>
    <x:xf numFmtId="0" fontId="4" fillId="0" borderId="3" xfId="0" applyFont="1" applyBorder="1"/>
    <x:xf numFmtId="165" fontId="4" fillId="0" borderId="3" xfId="0" applyNumberFormat="1" applyFont="1" applyBorder="1"/>
    <x:xf numFmtId="0" fontId="9" fillId="0" borderId="0" xfId="0" applyFont="1" applyAlignment="1">
      <x:alignment horizontal="center"/>
    </x:xf>
    <x:xf numFmtId="0" fontId="4" fillId="0" borderId="3" xfId="0" applyFont="1" applyBorder="1" applyAlignment="1">
      <x:alignment vertical="bottom"/>
    </x:xf>
    <x:xf numFmtId="0" fontId="10" fillId="6" borderId="3" xfId="0" applyFont="1" applyFill="1" applyBorder="1" applyAlignment="1">
      <x:alignment horizontal="center"/>
    </x:xf>
    <x:xf numFmtId="0" fontId="10" fillId="6" borderId="3" xfId="0" applyFont="1" applyFill="1" applyBorder="1" applyAlignment="1">
      <x:alignment horizontal="center" wrapText="1"/>
    </x:xf>
    <x:xf numFmtId="0" fontId="11" fillId="6" borderId="3" xfId="0" applyFont="1" applyFill="1" applyBorder="1" applyAlignment="1">
      <x:alignment horizontal="center" wrapText="1"/>
    </x:xf>
    <x:xf numFmtId="49" fontId="9" fillId="0" borderId="3" xfId="0" applyNumberFormat="1" applyFont="1" applyBorder="1" applyAlignment="1">
      <x:alignment horizontal="center" vertical="bottom"/>
    </x:xf>
    <x:xf numFmtId="49" fontId="6" fillId="0" borderId="3" xfId="0" applyNumberFormat="1" applyFont="1" applyBorder="1" applyAlignment="1">
      <x:alignment horizontal="center" vertical="bottom"/>
    </x:xf>
    <x:xf numFmtId="0" fontId="4" fillId="4" borderId="3" xfId="0" applyFont="1" applyFill="1" applyBorder="1"/>
    <x:xf numFmtId="0" fontId="3" fillId="3" borderId="1" xfId="0" applyFont="1" applyFill="1" applyBorder="1" applyAlignment="1">
      <x:alignment horizontal="center"/>
    </x:xf>
    <x:xf numFmtId="0" fontId="11" fillId="6" borderId="3" xfId="0" applyFont="1" applyFill="1" applyBorder="1" applyAlignment="1">
      <x:alignment horizontal="center"/>
    </x:xf>
    <x:xf numFmtId="0" fontId="4" fillId="5" borderId="3" xfId="0" applyFont="1" applyFill="1" applyBorder="1" applyAlignment="1">
      <x:alignment horizontal="center"/>
    </x:xf>
    <x:xf numFmtId="0" fontId="6" fillId="5" borderId="3" xfId="0" applyFont="1" applyFill="1" applyBorder="1" applyAlignment="1">
      <x:alignment horizontal="center"/>
    </x:xf>
    <x:xf numFmtId="1" fontId="6" fillId="0" borderId="3" xfId="0" applyNumberFormat="1" applyFont="1" applyBorder="1" applyAlignment="1">
      <x:alignment horizontal="center"/>
    </x:xf>
    <x:xf numFmtId="20" fontId="6" fillId="0" borderId="3" xfId="0" applyNumberFormat="1" applyFont="1" applyBorder="1" applyAlignment="1">
      <x:alignment horizontal="center"/>
    </x:xf>
    <x:xf numFmtId="0" fontId="6" fillId="0" borderId="3" xfId="0" applyFont="1" applyBorder="1" applyAlignment="1">
      <x:alignment horizontal="center"/>
    </x:xf>
    <x:xf numFmtId="2" fontId="4" fillId="5" borderId="3" xfId="0" applyNumberFormat="1" applyFont="1" applyFill="1" applyBorder="1" applyAlignment="1">
      <x:alignment horizontal="center"/>
    </x:xf>
    <x:xf numFmtId="166" fontId="6" fillId="0" borderId="3" xfId="0" applyNumberFormat="1" applyFont="1" applyBorder="1" applyAlignment="1">
      <x:alignment horizontal="center"/>
    </x:xf>
    <x:xf numFmtId="166" fontId="6" fillId="0" borderId="3" xfId="0" applyNumberFormat="1" applyFont="1" applyBorder="1" applyAlignment="1">
      <x:alignment horizontal="center" vertical="bottom"/>
    </x:xf>
    <x:xf numFmtId="167" fontId="4" fillId="5" borderId="3" xfId="0" applyNumberFormat="1" applyFont="1" applyFill="1" applyBorder="1" applyAlignment="1">
      <x:alignment horizontal="center"/>
    </x:xf>
    <x:xf numFmtId="0" fontId="12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 wrapText="1"/>
    </x:xf>
    <x:xf numFmtId="0" fontId="10" fillId="3" borderId="1" xfId="0" applyFont="1" applyFill="1" applyBorder="1" applyAlignment="1">
      <x:alignment horizontal="center" vertical="center"/>
    </x:xf>
    <x:xf numFmtId="164" fontId="6" fillId="0" borderId="3" xfId="0" applyNumberFormat="1" applyFont="1" applyBorder="1" applyAlignment="1">
      <x:alignment horizontal="center" wrapText="1"/>
    </x:xf>
    <x:xf numFmtId="0" fontId="5" fillId="7" borderId="3" xfId="0" applyFont="1" applyFill="1" applyBorder="1" applyAlignment="1">
      <x:alignment horizontal="center" vertical="center"/>
    </x:xf>
    <x:xf numFmtId="0" fontId="4" fillId="7" borderId="3" xfId="0" applyFont="1" applyFill="1" applyBorder="1" applyAlignment="1">
      <x:alignment horizontal="center" vertical="center"/>
    </x:xf>
    <x:xf numFmtId="0" fontId="10" fillId="6" borderId="3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 wrapText="1"/>
    </x:xf>
    <x:xf numFmtId="0" fontId="10" fillId="6" borderId="3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/>
    </x:xf>
    <x:xf numFmtId="0" fontId="13" fillId="8" borderId="3" xfId="0" applyFont="1" applyFill="1" applyBorder="1" applyAlignment="1">
      <x:alignment horizontal="center" vertical="center"/>
    </x:xf>
    <x:xf numFmtId="0" fontId="14" fillId="9" borderId="3" xfId="0" applyFont="1" applyFill="1" applyBorder="1" applyAlignment="1">
      <x:alignment horizontal="center"/>
    </x:xf>
    <x:xf numFmtId="4" fontId="6" fillId="0" borderId="3" xfId="0" applyNumberFormat="1" applyFont="1" applyBorder="1" applyAlignment="1">
      <x:alignment horizontal="center" wrapText="1"/>
    </x:xf>
    <x:xf numFmtId="49" fontId="6" fillId="0" borderId="3" xfId="0" applyNumberFormat="1" applyFont="1" applyBorder="1" applyAlignment="1">
      <x:alignment horizontal="center"/>
    </x:xf>
    <x:xf numFmtId="0" fontId="6" fillId="7" borderId="3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/>
    </x:xf>
    <x:xf numFmtId="49" fontId="4" fillId="0" borderId="3" xfId="0" applyNumberFormat="1" applyFont="1" applyBorder="1"/>
    <x:xf numFmtId="49" fontId="4" fillId="0" borderId="3" xfId="0" applyNumberFormat="1" applyFont="1" applyBorder="1" applyAlignment="1">
      <x:alignment horizontal="center" vertical="center"/>
    </x:xf>
    <x:xf numFmtId="0" fontId="15" fillId="10" borderId="3" xfId="0" applyFont="1" applyFill="1" applyBorder="1" applyAlignment="1">
      <x:alignment horizontal="center"/>
    </x:xf>
    <x:xf numFmtId="0" fontId="13" fillId="7" borderId="3" xfId="0" applyFont="1" applyFill="1" applyBorder="1" applyAlignment="1">
      <x:alignment horizontal="center" vertical="center"/>
    </x:xf>
    <x:xf numFmtId="0" fontId="6" fillId="10" borderId="3" xfId="0" applyFont="1" applyFill="1" applyBorder="1" applyAlignment="1">
      <x:alignment horizontal="center" vertical="center"/>
    </x:xf>
    <x:xf numFmtId="0" fontId="4" fillId="5" borderId="3" xfId="0" applyFont="1" applyFill="1" applyBorder="1"/>
    <x:xf numFmtId="0" fontId="6" fillId="0" borderId="3" xfId="0" applyFont="1" applyBorder="1" applyAlignment="1">
      <x:alignment horizontal="center" vertical="center"/>
    </x:xf>
    <x:xf numFmtId="0" fontId="4" fillId="5" borderId="3" xfId="0" applyFont="1" applyFill="1" applyBorder="1" applyAlignment="1">
      <x:alignment horizontal="center" vertical="center"/>
    </x:xf>
    <x:xf numFmtId="1" fontId="4" fillId="0" borderId="3" xfId="0" applyNumberFormat="1" applyFont="1" applyBorder="1" applyAlignment="1">
      <x:alignment horizontal="center" vertical="center"/>
    </x:xf>
    <x:xf numFmtId="0" fontId="16" fillId="11" borderId="3" xfId="0" applyFont="1" applyFill="1" applyBorder="1" applyAlignment="1">
      <x:alignment horizontal="center"/>
    </x:xf>
    <x:xf numFmtId="4" fontId="6" fillId="0" borderId="0" xfId="0" applyNumberFormat="1" applyFont="1" applyAlignment="1">
      <x:alignment horizontal="center" vertical="bottom"/>
    </x:xf>
    <x:xf numFmtId="4" fontId="6" fillId="0" borderId="3" xfId="0" applyNumberFormat="1" applyFont="1" applyBorder="1" applyAlignment="1">
      <x:alignment horizontal="center"/>
    </x:xf>
    <x:xf numFmtId="1" fontId="4" fillId="0" borderId="3" xfId="0" applyNumberFormat="1" applyFont="1" applyBorder="1"/>
    <x:xf numFmtId="4" fontId="4" fillId="0" borderId="3" xfId="0" applyNumberFormat="1" applyFont="1" applyBorder="1" applyAlignment="1">
      <x:alignment horizontal="center" vertical="center"/>
    </x:xf>
    <x:xf numFmtId="0" fontId="17" fillId="7" borderId="3" xfId="0" applyFont="1" applyFill="1" applyBorder="1" applyAlignment="1">
      <x:alignment horizontal="center"/>
    </x:xf>
    <x:xf numFmtId="0" fontId="5" fillId="0" borderId="3" xfId="0" applyFont="1" applyBorder="1" applyAlignment="1">
      <x:alignment horizontal="center" vertical="center"/>
    </x:xf>
    <x:xf numFmtId="1" fontId="4" fillId="5" borderId="3" xfId="0" applyNumberFormat="1" applyFont="1" applyFill="1" applyBorder="1" applyAlignment="1">
      <x:alignment horizontal="center" vertical="center"/>
    </x:xf>
    <x:xf numFmtId="166" fontId="4" fillId="5" borderId="3" xfId="0" applyNumberFormat="1" applyFont="1" applyFill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/>
    </x:xf>
    <x:xf numFmtId="0" fontId="4" fillId="0" borderId="0" xfId="0" applyFont="1" applyAlignment="1">
      <x:alignment horizontal="center"/>
    </x:xf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41366ff474846" /><Relationship Type="http://schemas.openxmlformats.org/officeDocument/2006/relationships/theme" Target="/xl/theme/theme1.xml" Id="R104a806a854c4100" /><Relationship Type="http://schemas.openxmlformats.org/officeDocument/2006/relationships/sharedStrings" Target="/xl/sharedStrings.xml" Id="R1d99147f6bc441cb" /><Relationship Type="http://schemas.openxmlformats.org/officeDocument/2006/relationships/worksheet" Target="/xl/worksheets/sheet1.xml" Id="R971275c552a64000" /><Relationship Type="http://schemas.openxmlformats.org/officeDocument/2006/relationships/worksheet" Target="/xl/worksheets/sheet2.xml" Id="Rad28a5c5cb64450a" /><Relationship Type="http://schemas.openxmlformats.org/officeDocument/2006/relationships/worksheet" Target="/xl/worksheets/sheet3.xml" Id="R8b895e00935c4a1d" /><Relationship Type="http://schemas.openxmlformats.org/officeDocument/2006/relationships/worksheet" Target="/xl/worksheets/sheet4.xml" Id="R601e1667a3ce4b3c" /><Relationship Type="http://schemas.openxmlformats.org/officeDocument/2006/relationships/worksheet" Target="/xl/worksheets/sheet5.xml" Id="R7306972abec34ef5" /><Relationship Type="http://schemas.openxmlformats.org/officeDocument/2006/relationships/worksheet" Target="/xl/worksheets/sheet6.xml" Id="R007d940eaa184d8d" /><Relationship Type="http://schemas.openxmlformats.org/officeDocument/2006/relationships/worksheet" Target="/xl/worksheets/sheet7.xml" Id="R875888f46c244407" /><Relationship Type="http://schemas.openxmlformats.org/officeDocument/2006/relationships/worksheet" Target="/xl/worksheets/sheet8.xml" Id="R550a006282cb4be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1299991607666" customWidth="1"/>
    <x:col min="2" max="2" width="18.25" customWidth="1"/>
    <x:col min="3" max="3" width="36.25" customWidth="1"/>
    <x:col min="4" max="4" width="18.25" customWidth="1"/>
    <x:col min="5" max="5" width="36.380001068115234" customWidth="1"/>
    <x:col min="6" max="6" width="18.25" customWidth="1"/>
    <x:col min="7" max="7" width="32.5" customWidth="1"/>
    <x:col min="8" max="8" width="18.25" customWidth="1"/>
  </x:cols>
  <x:sheetData>
    <x:row r="1" ht="6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0" customHeight="1">
      <x:c r="A3" s="11" t="s">
        <x:v>1</x:v>
      </x:c>
      <x:c r="B3" s="2"/>
      <x:c r="C3" s="2"/>
      <x:c r="D3" s="2"/>
      <x:c r="E3" s="2"/>
      <x:c r="F3" s="2"/>
      <x:c r="G3" s="2"/>
      <x:c r="H3" s="2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16" t="s">
        <x:v>2</x:v>
      </x:c>
      <x:c r="B5" s="6" t="str">
        <x:v>Example_Animal_03</x:v>
      </x:c>
      <x:c r="C5" s="16" t="s">
        <x:v>3</x:v>
      </x:c>
      <x:c r="D5" s="17"/>
      <x:c r="E5" s="16" t="s">
        <x:v>4</x:v>
      </x:c>
      <x:c r="F5" s="18"/>
      <x:c r="G5" s="16" t="s">
        <x:v>5</x:v>
      </x:c>
      <x:c r="H5" s="17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5" t="s">
        <x:v>6</x:v>
      </x:c>
      <x:c r="B6" s="6" t="s">
        <x:v>7</x:v>
      </x:c>
      <x:c r="C6" s="16" t="s">
        <x:v>8</x:v>
      </x:c>
      <x:c r="D6" s="17"/>
      <x:c r="E6" s="16" t="s">
        <x:v>9</x:v>
      </x:c>
      <x:c r="F6" s="20"/>
      <x:c r="G6" s="16" t="s">
        <x:v>10</x:v>
      </x:c>
      <x:c r="H6" s="17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16" t="s">
        <x:v>11</x:v>
      </x:c>
      <x:c r="B7" s="17"/>
      <x:c r="C7" s="5" t="s">
        <x:v>12</x:v>
      </x:c>
      <x:c r="D7" s="6" t="s">
        <x:v>13</x:v>
      </x:c>
      <x:c r="E7" s="16" t="s">
        <x:v>14</x:v>
      </x:c>
      <x:c r="F7" s="20"/>
      <x:c r="G7" s="16" t="s">
        <x:v>15</x:v>
      </x:c>
      <x:c r="H7" s="17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16" t="s">
        <x:v>16</x:v>
      </x:c>
      <x:c r="B8" s="17"/>
      <x:c r="C8" s="16" t="s">
        <x:v>17</x:v>
      </x:c>
      <x:c r="D8" s="6" t="s">
        <x:v>18</x:v>
      </x:c>
      <x:c r="E8" s="16" t="s">
        <x:v>19</x:v>
      </x:c>
      <x:c r="F8" s="20"/>
      <x:c r="G8" s="16" t="s">
        <x:v>20</x:v>
      </x:c>
      <x:c r="H8" s="17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16" t="s">
        <x:v>21</x:v>
      </x:c>
      <x:c r="B9" s="6" t="s">
        <x:v>22</x:v>
      </x:c>
      <x:c r="C9" s="16" t="s">
        <x:v>23</x:v>
      </x:c>
      <x:c r="D9" s="17"/>
      <x:c r="E9" s="26"/>
      <x:c r="F9" s="17"/>
      <x:c r="G9" s="16" t="s">
        <x:v>24</x:v>
      </x:c>
      <x:c r="H9" s="17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26"/>
      <x:c r="B10" s="17"/>
      <x:c r="C10" s="26"/>
      <x:c r="D10" s="17"/>
      <x:c r="E10" s="26"/>
      <x:c r="F10" s="17"/>
      <x:c r="G10" s="26"/>
      <x:c r="H10" s="17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26"/>
      <x:c r="B11" s="17"/>
      <x:c r="C11" s="26"/>
      <x:c r="D11" s="17"/>
      <x:c r="E11" s="26"/>
      <x:c r="F11" s="17"/>
      <x:c r="G11" s="26"/>
      <x:c r="H11" s="17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26"/>
      <x:c r="B12" s="17"/>
      <x:c r="C12" s="26"/>
      <x:c r="D12" s="17"/>
      <x:c r="E12" s="26"/>
      <x:c r="F12" s="17"/>
      <x:c r="G12" s="26"/>
      <x:c r="H12" s="17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9"/>
      <x:c r="B13" s="9"/>
      <x:c r="C13" s="9"/>
      <x:c r="D13" s="9"/>
      <x:c r="E13" s="9"/>
      <x:c r="F13" s="9"/>
      <x:c r="G13" s="9"/>
      <x:c r="H13" s="9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30" customHeight="1">
      <x:c r="A14" s="27" t="s">
        <x:v>25</x:v>
      </x:c>
      <x:c r="B14" s="2"/>
      <x:c r="C14" s="2"/>
      <x:c r="D14" s="2"/>
      <x:c r="E14" s="2"/>
      <x:c r="F14" s="2"/>
      <x:c r="G14" s="2"/>
      <x:c r="H14" s="2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9"/>
      <x:c r="B15" s="9"/>
      <x:c r="C15" s="9"/>
      <x:c r="D15" s="9"/>
      <x:c r="E15" s="9"/>
      <x:c r="F15" s="9"/>
      <x:c r="G15" s="9"/>
      <x:c r="H15" s="9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16" t="s">
        <x:v>26</x:v>
      </x:c>
      <x:c r="B16" s="6" t="s">
        <x:v>27</x:v>
      </x:c>
      <x:c r="C16" s="16" t="s">
        <x:v>28</x:v>
      </x:c>
      <x:c r="D16" s="6" t="s">
        <x:v>29</x:v>
      </x:c>
      <x:c r="E16" s="16" t="s">
        <x:v>30</x:v>
      </x:c>
      <x:c r="F16" s="6" t="s">
        <x:v>31</x:v>
      </x:c>
      <x:c r="G16" s="16" t="s">
        <x:v>32</x:v>
      </x:c>
      <x:c r="H16" s="6" t="s">
        <x:v>33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16" t="s">
        <x:v>34</x:v>
      </x:c>
      <x:c r="B17" s="17"/>
      <x:c r="C17" s="16" t="s">
        <x:v>35</x:v>
      </x:c>
      <x:c r="D17" s="6" t="s">
        <x:v>36</x:v>
      </x:c>
      <x:c r="E17" s="16" t="s">
        <x:v>37</x:v>
      </x:c>
      <x:c r="F17" s="17"/>
      <x:c r="G17" s="16" t="s">
        <x:v>38</x:v>
      </x:c>
      <x:c r="H17" s="17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16" t="s">
        <x:v>39</x:v>
      </x:c>
      <x:c r="B18" s="32">
        <x:v>0.4236111111111111</x:v>
      </x:c>
      <x:c r="C18" s="16" t="s">
        <x:v>40</x:v>
      </x:c>
      <x:c r="D18" s="17"/>
      <x:c r="E18" s="16" t="s">
        <x:v>41</x:v>
      </x:c>
      <x:c r="F18" s="6" t="s">
        <x:v>42</x:v>
      </x:c>
      <x:c r="G18" s="5" t="s">
        <x:v>43</x:v>
      </x:c>
      <x:c r="H18" s="33" t="s">
        <x:v>44</x:v>
      </x:c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16" t="s">
        <x:v>45</x:v>
      </x:c>
      <x:c r="B19" s="15">
        <x:v>0.9166666666666666</x:v>
      </x:c>
      <x:c r="C19" s="16" t="s">
        <x:v>46</x:v>
      </x:c>
      <x:c r="D19" s="17"/>
      <x:c r="E19" s="16" t="s">
        <x:v>47</x:v>
      </x:c>
      <x:c r="F19" s="6" t="s">
        <x:v>48</x:v>
      </x:c>
      <x:c r="G19" s="16" t="s">
        <x:v>49</x:v>
      </x:c>
      <x:c r="H19" s="6" t="s">
        <x:v>22</x:v>
      </x:c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16" t="s">
        <x:v>50</x:v>
      </x:c>
      <x:c r="B20" s="17"/>
      <x:c r="C20" s="16" t="s">
        <x:v>51</x:v>
      </x:c>
      <x:c r="D20" s="17"/>
      <x:c r="E20" s="16" t="s">
        <x:v>52</x:v>
      </x:c>
      <x:c r="F20" s="6" t="s">
        <x:v>48</x:v>
      </x:c>
      <x:c r="G20" s="26"/>
      <x:c r="H20" s="17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26"/>
      <x:c r="B21" s="17"/>
      <x:c r="C21" s="26"/>
      <x:c r="D21" s="17"/>
      <x:c r="E21" s="16" t="s">
        <x:v>53</x:v>
      </x:c>
      <x:c r="F21" s="17"/>
      <x:c r="G21" s="26"/>
      <x:c r="H21" s="17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26"/>
      <x:c r="B22" s="17"/>
      <x:c r="C22" s="26"/>
      <x:c r="D22" s="17"/>
      <x:c r="E22" s="16" t="s">
        <x:v>54</x:v>
      </x:c>
      <x:c r="F22" s="17"/>
      <x:c r="G22" s="26"/>
      <x:c r="H22" s="17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26"/>
      <x:c r="B23" s="17"/>
      <x:c r="C23" s="26"/>
      <x:c r="D23" s="17"/>
      <x:c r="E23" s="26"/>
      <x:c r="F23" s="17"/>
      <x:c r="G23" s="26"/>
      <x:c r="H23" s="17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38"/>
      <x:c r="B24" s="38"/>
      <x:c r="C24" s="38"/>
      <x:c r="D24" s="38"/>
      <x:c r="E24" s="38"/>
      <x:c r="F24" s="38"/>
      <x:c r="G24" s="38"/>
      <x:c r="H24" s="38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" customHeight="1">
      <x:c r="A25" s="38"/>
      <x:c r="B25" s="38"/>
      <x:c r="C25" s="38"/>
      <x:c r="D25" s="38"/>
      <x:c r="E25" s="38"/>
      <x:c r="F25" s="38"/>
      <x:c r="G25" s="38"/>
      <x:c r="H25" s="38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 ht="14.25" customHeight="1">
      <x:c r="A26" s="38"/>
      <x:c r="B26" s="38"/>
      <x:c r="C26" s="38"/>
      <x:c r="D26" s="38"/>
      <x:c r="E26" s="38"/>
      <x:c r="F26" s="38"/>
      <x:c r="G26" s="38"/>
      <x:c r="H26" s="38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38"/>
      <x:c r="B27" s="38"/>
      <x:c r="C27" s="38"/>
      <x:c r="D27" s="38"/>
      <x:c r="E27" s="38"/>
      <x:c r="F27" s="38"/>
      <x:c r="G27" s="38"/>
      <x:c r="H27" s="38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38"/>
      <x:c r="B28" s="38"/>
      <x:c r="C28" s="38"/>
      <x:c r="D28" s="38"/>
      <x:c r="E28" s="38"/>
      <x:c r="F28" s="38"/>
      <x:c r="G28" s="38"/>
      <x:c r="H28" s="38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38"/>
      <x:c r="B29" s="38"/>
      <x:c r="C29" s="38"/>
      <x:c r="D29" s="38"/>
      <x:c r="E29" s="38"/>
      <x:c r="F29" s="38"/>
      <x:c r="G29" s="38"/>
      <x:c r="H29" s="38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38"/>
      <x:c r="B30" s="38"/>
      <x:c r="C30" s="38"/>
      <x:c r="D30" s="38"/>
      <x:c r="E30" s="38"/>
      <x:c r="F30" s="38"/>
      <x:c r="G30" s="38"/>
      <x:c r="H30" s="38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38"/>
      <x:c r="B31" s="38"/>
      <x:c r="C31" s="38"/>
      <x:c r="D31" s="38"/>
      <x:c r="E31" s="38"/>
      <x:c r="F31" s="38"/>
      <x:c r="G31" s="38"/>
      <x:c r="H31" s="38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38"/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38"/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38"/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  <x:row r="601">
      <x:c r="A601" s="38"/>
      <x:c r="B601" s="38"/>
      <x:c r="C601" s="38"/>
      <x:c r="D601" s="38"/>
      <x:c r="E601" s="38"/>
      <x:c r="F601" s="38"/>
      <x:c r="G601" s="38"/>
      <x:c r="H601" s="38"/>
      <x:c r="I601" s="38"/>
      <x:c r="J601" s="38"/>
      <x:c r="K601" s="38"/>
      <x:c r="L601" s="38"/>
      <x:c r="M601" s="38"/>
      <x:c r="N601" s="38"/>
      <x:c r="O601" s="38"/>
      <x:c r="P601" s="38"/>
      <x:c r="Q601" s="38"/>
      <x:c r="R601" s="38"/>
      <x:c r="S601" s="38"/>
      <x:c r="T601" s="38"/>
      <x:c r="U601" s="38"/>
      <x:c r="V601" s="38"/>
      <x:c r="W601" s="38"/>
      <x:c r="X601" s="38"/>
      <x:c r="Y601" s="38"/>
      <x:c r="Z601" s="38"/>
    </x:row>
    <x:row r="602">
      <x:c r="A602" s="38"/>
      <x:c r="B602" s="38"/>
      <x:c r="C602" s="38"/>
      <x:c r="D602" s="38"/>
      <x:c r="E602" s="38"/>
      <x:c r="F602" s="38"/>
      <x:c r="G602" s="38"/>
      <x:c r="H602" s="38"/>
      <x:c r="I602" s="38"/>
      <x:c r="J602" s="38"/>
      <x:c r="K602" s="38"/>
      <x:c r="L602" s="38"/>
      <x:c r="M602" s="38"/>
      <x:c r="N602" s="38"/>
      <x:c r="O602" s="38"/>
      <x:c r="P602" s="38"/>
      <x:c r="Q602" s="38"/>
      <x:c r="R602" s="38"/>
      <x:c r="S602" s="38"/>
      <x:c r="T602" s="38"/>
      <x:c r="U602" s="38"/>
      <x:c r="V602" s="38"/>
      <x:c r="W602" s="38"/>
      <x:c r="X602" s="38"/>
      <x:c r="Y602" s="38"/>
      <x:c r="Z602" s="38"/>
    </x:row>
    <x:row r="603">
      <x:c r="A603" s="38"/>
      <x:c r="B603" s="38"/>
      <x:c r="C603" s="38"/>
      <x:c r="D603" s="38"/>
      <x:c r="E603" s="38"/>
      <x:c r="F603" s="38"/>
      <x:c r="G603" s="38"/>
      <x:c r="H603" s="38"/>
      <x:c r="I603" s="38"/>
      <x:c r="J603" s="38"/>
      <x:c r="K603" s="38"/>
      <x:c r="L603" s="38"/>
      <x:c r="M603" s="38"/>
      <x:c r="N603" s="38"/>
      <x:c r="O603" s="38"/>
      <x:c r="P603" s="38"/>
      <x:c r="Q603" s="38"/>
      <x:c r="R603" s="38"/>
      <x:c r="S603" s="38"/>
      <x:c r="T603" s="38"/>
      <x:c r="U603" s="38"/>
      <x:c r="V603" s="38"/>
      <x:c r="W603" s="38"/>
      <x:c r="X603" s="38"/>
      <x:c r="Y603" s="38"/>
      <x:c r="Z603" s="38"/>
    </x:row>
    <x:row r="604">
      <x:c r="A604" s="38"/>
      <x:c r="B604" s="38"/>
      <x:c r="C604" s="38"/>
      <x:c r="D604" s="38"/>
      <x:c r="E604" s="38"/>
      <x:c r="F604" s="38"/>
      <x:c r="G604" s="38"/>
      <x:c r="H604" s="38"/>
      <x:c r="I604" s="38"/>
      <x:c r="J604" s="38"/>
      <x:c r="K604" s="38"/>
      <x:c r="L604" s="38"/>
      <x:c r="M604" s="38"/>
      <x:c r="N604" s="38"/>
      <x:c r="O604" s="38"/>
      <x:c r="P604" s="38"/>
      <x:c r="Q604" s="38"/>
      <x:c r="R604" s="38"/>
      <x:c r="S604" s="38"/>
      <x:c r="T604" s="38"/>
      <x:c r="U604" s="38"/>
      <x:c r="V604" s="38"/>
      <x:c r="W604" s="38"/>
      <x:c r="X604" s="38"/>
      <x:c r="Y604" s="38"/>
      <x:c r="Z604" s="38"/>
    </x:row>
    <x:row r="605">
      <x:c r="A605" s="38"/>
      <x:c r="B605" s="38"/>
      <x:c r="C605" s="38"/>
      <x:c r="D605" s="38"/>
      <x:c r="E605" s="38"/>
      <x:c r="F605" s="38"/>
      <x:c r="G605" s="38"/>
      <x:c r="H605" s="38"/>
      <x:c r="I605" s="38"/>
      <x:c r="J605" s="38"/>
      <x:c r="K605" s="38"/>
      <x:c r="L605" s="38"/>
      <x:c r="M605" s="38"/>
      <x:c r="N605" s="38"/>
      <x:c r="O605" s="38"/>
      <x:c r="P605" s="38"/>
      <x:c r="Q605" s="38"/>
      <x:c r="R605" s="38"/>
      <x:c r="S605" s="38"/>
      <x:c r="T605" s="38"/>
      <x:c r="U605" s="38"/>
      <x:c r="V605" s="38"/>
      <x:c r="W605" s="38"/>
      <x:c r="X605" s="38"/>
      <x:c r="Y605" s="38"/>
      <x:c r="Z605" s="38"/>
    </x:row>
    <x:row r="606">
      <x:c r="A606" s="38"/>
      <x:c r="B606" s="38"/>
      <x:c r="C606" s="38"/>
      <x:c r="D606" s="38"/>
      <x:c r="E606" s="38"/>
      <x:c r="F606" s="38"/>
      <x:c r="G606" s="38"/>
      <x:c r="H606" s="38"/>
      <x:c r="I606" s="38"/>
      <x:c r="J606" s="38"/>
      <x:c r="K606" s="38"/>
      <x:c r="L606" s="38"/>
      <x:c r="M606" s="38"/>
      <x:c r="N606" s="38"/>
      <x:c r="O606" s="38"/>
      <x:c r="P606" s="38"/>
      <x:c r="Q606" s="38"/>
      <x:c r="R606" s="38"/>
      <x:c r="S606" s="38"/>
      <x:c r="T606" s="38"/>
      <x:c r="U606" s="38"/>
      <x:c r="V606" s="38"/>
      <x:c r="W606" s="38"/>
      <x:c r="X606" s="38"/>
      <x:c r="Y606" s="38"/>
      <x:c r="Z606" s="38"/>
    </x:row>
    <x:row r="607">
      <x:c r="A607" s="38"/>
      <x:c r="B607" s="38"/>
      <x:c r="C607" s="38"/>
      <x:c r="D607" s="38"/>
      <x:c r="E607" s="38"/>
      <x:c r="F607" s="38"/>
      <x:c r="G607" s="38"/>
      <x:c r="H607" s="38"/>
      <x:c r="I607" s="38"/>
      <x:c r="J607" s="38"/>
      <x:c r="K607" s="38"/>
      <x:c r="L607" s="38"/>
      <x:c r="M607" s="38"/>
      <x:c r="N607" s="38"/>
      <x:c r="O607" s="38"/>
      <x:c r="P607" s="38"/>
      <x:c r="Q607" s="38"/>
      <x:c r="R607" s="38"/>
      <x:c r="S607" s="38"/>
      <x:c r="T607" s="38"/>
      <x:c r="U607" s="38"/>
      <x:c r="V607" s="38"/>
      <x:c r="W607" s="38"/>
      <x:c r="X607" s="38"/>
      <x:c r="Y607" s="38"/>
      <x:c r="Z607" s="38"/>
    </x:row>
    <x:row r="608">
      <x:c r="A608" s="38"/>
      <x:c r="B608" s="38"/>
      <x:c r="C608" s="38"/>
      <x:c r="D608" s="38"/>
      <x:c r="E608" s="38"/>
      <x:c r="F608" s="38"/>
      <x:c r="G608" s="38"/>
      <x:c r="H608" s="38"/>
      <x:c r="I608" s="38"/>
      <x:c r="J608" s="38"/>
      <x:c r="K608" s="38"/>
      <x:c r="L608" s="38"/>
      <x:c r="M608" s="38"/>
      <x:c r="N608" s="38"/>
      <x:c r="O608" s="38"/>
      <x:c r="P608" s="38"/>
      <x:c r="Q608" s="38"/>
      <x:c r="R608" s="38"/>
      <x:c r="S608" s="38"/>
      <x:c r="T608" s="38"/>
      <x:c r="U608" s="38"/>
      <x:c r="V608" s="38"/>
      <x:c r="W608" s="38"/>
      <x:c r="X608" s="38"/>
      <x:c r="Y608" s="38"/>
      <x:c r="Z608" s="38"/>
    </x:row>
    <x:row r="609">
      <x:c r="A609" s="38"/>
      <x:c r="B609" s="38"/>
      <x:c r="C609" s="38"/>
      <x:c r="D609" s="38"/>
      <x:c r="E609" s="38"/>
      <x:c r="F609" s="38"/>
      <x:c r="G609" s="38"/>
      <x:c r="H609" s="38"/>
      <x:c r="I609" s="38"/>
      <x:c r="J609" s="38"/>
      <x:c r="K609" s="38"/>
      <x:c r="L609" s="38"/>
      <x:c r="M609" s="38"/>
      <x:c r="N609" s="38"/>
      <x:c r="O609" s="38"/>
      <x:c r="P609" s="38"/>
      <x:c r="Q609" s="38"/>
      <x:c r="R609" s="38"/>
      <x:c r="S609" s="38"/>
      <x:c r="T609" s="38"/>
      <x:c r="U609" s="38"/>
      <x:c r="V609" s="38"/>
      <x:c r="W609" s="38"/>
      <x:c r="X609" s="38"/>
      <x:c r="Y609" s="38"/>
      <x:c r="Z609" s="38"/>
    </x:row>
    <x:row r="610">
      <x:c r="A610" s="38"/>
      <x:c r="B610" s="38"/>
      <x:c r="C610" s="38"/>
      <x:c r="D610" s="38"/>
      <x:c r="E610" s="38"/>
      <x:c r="F610" s="38"/>
      <x:c r="G610" s="38"/>
      <x:c r="H610" s="38"/>
      <x:c r="I610" s="38"/>
      <x:c r="J610" s="38"/>
      <x:c r="K610" s="38"/>
      <x:c r="L610" s="38"/>
      <x:c r="M610" s="38"/>
      <x:c r="N610" s="38"/>
      <x:c r="O610" s="38"/>
      <x:c r="P610" s="38"/>
      <x:c r="Q610" s="38"/>
      <x:c r="R610" s="38"/>
      <x:c r="S610" s="38"/>
      <x:c r="T610" s="38"/>
      <x:c r="U610" s="38"/>
      <x:c r="V610" s="38"/>
      <x:c r="W610" s="38"/>
      <x:c r="X610" s="38"/>
      <x:c r="Y610" s="38"/>
      <x:c r="Z610" s="38"/>
    </x:row>
    <x:row r="611">
      <x:c r="A611" s="38"/>
      <x:c r="B611" s="38"/>
      <x:c r="C611" s="38"/>
      <x:c r="D611" s="38"/>
      <x:c r="E611" s="38"/>
      <x:c r="F611" s="38"/>
      <x:c r="G611" s="38"/>
      <x:c r="H611" s="38"/>
      <x:c r="I611" s="38"/>
      <x:c r="J611" s="38"/>
      <x:c r="K611" s="38"/>
      <x:c r="L611" s="38"/>
      <x:c r="M611" s="38"/>
      <x:c r="N611" s="38"/>
      <x:c r="O611" s="38"/>
      <x:c r="P611" s="38"/>
      <x:c r="Q611" s="38"/>
      <x:c r="R611" s="38"/>
      <x:c r="S611" s="38"/>
      <x:c r="T611" s="38"/>
      <x:c r="U611" s="38"/>
      <x:c r="V611" s="38"/>
      <x:c r="W611" s="38"/>
      <x:c r="X611" s="38"/>
      <x:c r="Y611" s="38"/>
      <x:c r="Z611" s="38"/>
    </x:row>
    <x:row r="612">
      <x:c r="A612" s="38"/>
      <x:c r="B612" s="38"/>
      <x:c r="C612" s="38"/>
      <x:c r="D612" s="38"/>
      <x:c r="E612" s="38"/>
      <x:c r="F612" s="38"/>
      <x:c r="G612" s="38"/>
      <x:c r="H612" s="38"/>
      <x:c r="I612" s="38"/>
      <x:c r="J612" s="38"/>
      <x:c r="K612" s="38"/>
      <x:c r="L612" s="38"/>
      <x:c r="M612" s="38"/>
      <x:c r="N612" s="38"/>
      <x:c r="O612" s="38"/>
      <x:c r="P612" s="38"/>
      <x:c r="Q612" s="38"/>
      <x:c r="R612" s="38"/>
      <x:c r="S612" s="38"/>
      <x:c r="T612" s="38"/>
      <x:c r="U612" s="38"/>
      <x:c r="V612" s="38"/>
      <x:c r="W612" s="38"/>
      <x:c r="X612" s="38"/>
      <x:c r="Y612" s="38"/>
      <x:c r="Z612" s="38"/>
    </x:row>
    <x:row r="613">
      <x:c r="A613" s="38"/>
      <x:c r="B613" s="38"/>
      <x:c r="C613" s="38"/>
      <x:c r="D613" s="38"/>
      <x:c r="E613" s="38"/>
      <x:c r="F613" s="38"/>
      <x:c r="G613" s="38"/>
      <x:c r="H613" s="38"/>
      <x:c r="I613" s="38"/>
      <x:c r="J613" s="38"/>
      <x:c r="K613" s="38"/>
      <x:c r="L613" s="38"/>
      <x:c r="M613" s="38"/>
      <x:c r="N613" s="38"/>
      <x:c r="O613" s="38"/>
      <x:c r="P613" s="38"/>
      <x:c r="Q613" s="38"/>
      <x:c r="R613" s="38"/>
      <x:c r="S613" s="38"/>
      <x:c r="T613" s="38"/>
      <x:c r="U613" s="38"/>
      <x:c r="V613" s="38"/>
      <x:c r="W613" s="38"/>
      <x:c r="X613" s="38"/>
      <x:c r="Y613" s="38"/>
      <x:c r="Z613" s="38"/>
    </x:row>
    <x:row r="614">
      <x:c r="A614" s="38"/>
      <x:c r="B614" s="38"/>
      <x:c r="C614" s="38"/>
      <x:c r="D614" s="38"/>
      <x:c r="E614" s="38"/>
      <x:c r="F614" s="38"/>
      <x:c r="G614" s="38"/>
      <x:c r="H614" s="38"/>
      <x:c r="I614" s="38"/>
      <x:c r="J614" s="38"/>
      <x:c r="K614" s="38"/>
      <x:c r="L614" s="38"/>
      <x:c r="M614" s="38"/>
      <x:c r="N614" s="38"/>
      <x:c r="O614" s="38"/>
      <x:c r="P614" s="38"/>
      <x:c r="Q614" s="38"/>
      <x:c r="R614" s="38"/>
      <x:c r="S614" s="38"/>
      <x:c r="T614" s="38"/>
      <x:c r="U614" s="38"/>
      <x:c r="V614" s="38"/>
      <x:c r="W614" s="38"/>
      <x:c r="X614" s="38"/>
      <x:c r="Y614" s="38"/>
      <x:c r="Z614" s="38"/>
    </x:row>
    <x:row r="615">
      <x:c r="A615" s="38"/>
      <x:c r="B615" s="38"/>
      <x:c r="C615" s="38"/>
      <x:c r="D615" s="38"/>
      <x:c r="E615" s="38"/>
      <x:c r="F615" s="38"/>
      <x:c r="G615" s="38"/>
      <x:c r="H615" s="38"/>
      <x:c r="I615" s="38"/>
      <x:c r="J615" s="38"/>
      <x:c r="K615" s="38"/>
      <x:c r="L615" s="38"/>
      <x:c r="M615" s="38"/>
      <x:c r="N615" s="38"/>
      <x:c r="O615" s="38"/>
      <x:c r="P615" s="38"/>
      <x:c r="Q615" s="38"/>
      <x:c r="R615" s="38"/>
      <x:c r="S615" s="38"/>
      <x:c r="T615" s="38"/>
      <x:c r="U615" s="38"/>
      <x:c r="V615" s="38"/>
      <x:c r="W615" s="38"/>
      <x:c r="X615" s="38"/>
      <x:c r="Y615" s="38"/>
      <x:c r="Z615" s="38"/>
    </x:row>
    <x:row r="616">
      <x:c r="A616" s="38"/>
      <x:c r="B616" s="38"/>
      <x:c r="C616" s="38"/>
      <x:c r="D616" s="38"/>
      <x:c r="E616" s="38"/>
      <x:c r="F616" s="38"/>
      <x:c r="G616" s="38"/>
      <x:c r="H616" s="38"/>
      <x:c r="I616" s="38"/>
      <x:c r="J616" s="38"/>
      <x:c r="K616" s="38"/>
      <x:c r="L616" s="38"/>
      <x:c r="M616" s="38"/>
      <x:c r="N616" s="38"/>
      <x:c r="O616" s="38"/>
      <x:c r="P616" s="38"/>
      <x:c r="Q616" s="38"/>
      <x:c r="R616" s="38"/>
      <x:c r="S616" s="38"/>
      <x:c r="T616" s="38"/>
      <x:c r="U616" s="38"/>
      <x:c r="V616" s="38"/>
      <x:c r="W616" s="38"/>
      <x:c r="X616" s="38"/>
      <x:c r="Y616" s="38"/>
      <x:c r="Z616" s="38"/>
    </x:row>
    <x:row r="617">
      <x:c r="A617" s="38"/>
      <x:c r="B617" s="38"/>
      <x:c r="C617" s="38"/>
      <x:c r="D617" s="38"/>
      <x:c r="E617" s="38"/>
      <x:c r="F617" s="38"/>
      <x:c r="G617" s="38"/>
      <x:c r="H617" s="38"/>
      <x:c r="I617" s="38"/>
      <x:c r="J617" s="38"/>
      <x:c r="K617" s="38"/>
      <x:c r="L617" s="38"/>
      <x:c r="M617" s="38"/>
      <x:c r="N617" s="38"/>
      <x:c r="O617" s="38"/>
      <x:c r="P617" s="38"/>
      <x:c r="Q617" s="38"/>
      <x:c r="R617" s="38"/>
      <x:c r="S617" s="38"/>
      <x:c r="T617" s="38"/>
      <x:c r="U617" s="38"/>
      <x:c r="V617" s="38"/>
      <x:c r="W617" s="38"/>
      <x:c r="X617" s="38"/>
      <x:c r="Y617" s="38"/>
      <x:c r="Z617" s="38"/>
    </x:row>
    <x:row r="618">
      <x:c r="A618" s="38"/>
      <x:c r="B618" s="38"/>
      <x:c r="C618" s="38"/>
      <x:c r="D618" s="38"/>
      <x:c r="E618" s="38"/>
      <x:c r="F618" s="38"/>
      <x:c r="G618" s="38"/>
      <x:c r="H618" s="38"/>
      <x:c r="I618" s="38"/>
      <x:c r="J618" s="38"/>
      <x:c r="K618" s="38"/>
      <x:c r="L618" s="38"/>
      <x:c r="M618" s="38"/>
      <x:c r="N618" s="38"/>
      <x:c r="O618" s="38"/>
      <x:c r="P618" s="38"/>
      <x:c r="Q618" s="38"/>
      <x:c r="R618" s="38"/>
      <x:c r="S618" s="38"/>
      <x:c r="T618" s="38"/>
      <x:c r="U618" s="38"/>
      <x:c r="V618" s="38"/>
      <x:c r="W618" s="38"/>
      <x:c r="X618" s="38"/>
      <x:c r="Y618" s="38"/>
      <x:c r="Z618" s="38"/>
    </x:row>
    <x:row r="619">
      <x:c r="A619" s="38"/>
      <x:c r="B619" s="38"/>
      <x:c r="C619" s="38"/>
      <x:c r="D619" s="38"/>
      <x:c r="E619" s="38"/>
      <x:c r="F619" s="38"/>
      <x:c r="G619" s="38"/>
      <x:c r="H619" s="38"/>
      <x:c r="I619" s="38"/>
      <x:c r="J619" s="38"/>
      <x:c r="K619" s="38"/>
      <x:c r="L619" s="38"/>
      <x:c r="M619" s="38"/>
      <x:c r="N619" s="38"/>
      <x:c r="O619" s="38"/>
      <x:c r="P619" s="38"/>
      <x:c r="Q619" s="38"/>
      <x:c r="R619" s="38"/>
      <x:c r="S619" s="38"/>
      <x:c r="T619" s="38"/>
      <x:c r="U619" s="38"/>
      <x:c r="V619" s="38"/>
      <x:c r="W619" s="38"/>
      <x:c r="X619" s="38"/>
      <x:c r="Y619" s="38"/>
      <x:c r="Z619" s="38"/>
    </x:row>
    <x:row r="620">
      <x:c r="A620" s="38"/>
      <x:c r="B620" s="38"/>
      <x:c r="C620" s="38"/>
      <x:c r="D620" s="38"/>
      <x:c r="E620" s="38"/>
      <x:c r="F620" s="38"/>
      <x:c r="G620" s="38"/>
      <x:c r="H620" s="38"/>
      <x:c r="I620" s="38"/>
      <x:c r="J620" s="38"/>
      <x:c r="K620" s="38"/>
      <x:c r="L620" s="38"/>
      <x:c r="M620" s="38"/>
      <x:c r="N620" s="38"/>
      <x:c r="O620" s="38"/>
      <x:c r="P620" s="38"/>
      <x:c r="Q620" s="38"/>
      <x:c r="R620" s="38"/>
      <x:c r="S620" s="38"/>
      <x:c r="T620" s="38"/>
      <x:c r="U620" s="38"/>
      <x:c r="V620" s="38"/>
      <x:c r="W620" s="38"/>
      <x:c r="X620" s="38"/>
      <x:c r="Y620" s="38"/>
      <x:c r="Z620" s="38"/>
    </x:row>
    <x:row r="621">
      <x:c r="A621" s="38"/>
      <x:c r="B621" s="38"/>
      <x:c r="C621" s="38"/>
      <x:c r="D621" s="38"/>
      <x:c r="E621" s="38"/>
      <x:c r="F621" s="38"/>
      <x:c r="G621" s="38"/>
      <x:c r="H621" s="38"/>
      <x:c r="I621" s="38"/>
      <x:c r="J621" s="38"/>
      <x:c r="K621" s="38"/>
      <x:c r="L621" s="38"/>
      <x:c r="M621" s="38"/>
      <x:c r="N621" s="38"/>
      <x:c r="O621" s="38"/>
      <x:c r="P621" s="38"/>
      <x:c r="Q621" s="38"/>
      <x:c r="R621" s="38"/>
      <x:c r="S621" s="38"/>
      <x:c r="T621" s="38"/>
      <x:c r="U621" s="38"/>
      <x:c r="V621" s="38"/>
      <x:c r="W621" s="38"/>
      <x:c r="X621" s="38"/>
      <x:c r="Y621" s="38"/>
      <x:c r="Z621" s="38"/>
    </x:row>
    <x:row r="622">
      <x:c r="A622" s="38"/>
      <x:c r="B622" s="38"/>
      <x:c r="C622" s="38"/>
      <x:c r="D622" s="38"/>
      <x:c r="E622" s="38"/>
      <x:c r="F622" s="38"/>
      <x:c r="G622" s="38"/>
      <x:c r="H622" s="38"/>
      <x:c r="I622" s="38"/>
      <x:c r="J622" s="38"/>
      <x:c r="K622" s="38"/>
      <x:c r="L622" s="38"/>
      <x:c r="M622" s="38"/>
      <x:c r="N622" s="38"/>
      <x:c r="O622" s="38"/>
      <x:c r="P622" s="38"/>
      <x:c r="Q622" s="38"/>
      <x:c r="R622" s="38"/>
      <x:c r="S622" s="38"/>
      <x:c r="T622" s="38"/>
      <x:c r="U622" s="38"/>
      <x:c r="V622" s="38"/>
      <x:c r="W622" s="38"/>
      <x:c r="X622" s="38"/>
      <x:c r="Y622" s="38"/>
      <x:c r="Z622" s="38"/>
    </x:row>
    <x:row r="623">
      <x:c r="A623" s="38"/>
      <x:c r="B623" s="38"/>
      <x:c r="C623" s="38"/>
      <x:c r="D623" s="38"/>
      <x:c r="E623" s="38"/>
      <x:c r="F623" s="38"/>
      <x:c r="G623" s="38"/>
      <x:c r="H623" s="38"/>
      <x:c r="I623" s="38"/>
      <x:c r="J623" s="38"/>
      <x:c r="K623" s="38"/>
      <x:c r="L623" s="38"/>
      <x:c r="M623" s="38"/>
      <x:c r="N623" s="38"/>
      <x:c r="O623" s="38"/>
      <x:c r="P623" s="38"/>
      <x:c r="Q623" s="38"/>
      <x:c r="R623" s="38"/>
      <x:c r="S623" s="38"/>
      <x:c r="T623" s="38"/>
      <x:c r="U623" s="38"/>
      <x:c r="V623" s="38"/>
      <x:c r="W623" s="38"/>
      <x:c r="X623" s="38"/>
      <x:c r="Y623" s="38"/>
      <x:c r="Z623" s="38"/>
    </x:row>
    <x:row r="624">
      <x:c r="A624" s="38"/>
      <x:c r="B624" s="38"/>
      <x:c r="C624" s="38"/>
      <x:c r="D624" s="38"/>
      <x:c r="E624" s="38"/>
      <x:c r="F624" s="38"/>
      <x:c r="G624" s="38"/>
      <x:c r="H624" s="38"/>
      <x:c r="I624" s="38"/>
      <x:c r="J624" s="38"/>
      <x:c r="K624" s="38"/>
      <x:c r="L624" s="38"/>
      <x:c r="M624" s="38"/>
      <x:c r="N624" s="38"/>
      <x:c r="O624" s="38"/>
      <x:c r="P624" s="38"/>
      <x:c r="Q624" s="38"/>
      <x:c r="R624" s="38"/>
      <x:c r="S624" s="38"/>
      <x:c r="T624" s="38"/>
      <x:c r="U624" s="38"/>
      <x:c r="V624" s="38"/>
      <x:c r="W624" s="38"/>
      <x:c r="X624" s="38"/>
      <x:c r="Y624" s="38"/>
      <x:c r="Z624" s="38"/>
    </x:row>
    <x:row r="625">
      <x:c r="A625" s="38"/>
      <x:c r="B625" s="38"/>
      <x:c r="C625" s="38"/>
      <x:c r="D625" s="38"/>
      <x:c r="E625" s="38"/>
      <x:c r="F625" s="38"/>
      <x:c r="G625" s="38"/>
      <x:c r="H625" s="38"/>
      <x:c r="I625" s="38"/>
      <x:c r="J625" s="38"/>
      <x:c r="K625" s="38"/>
      <x:c r="L625" s="38"/>
      <x:c r="M625" s="38"/>
      <x:c r="N625" s="38"/>
      <x:c r="O625" s="38"/>
      <x:c r="P625" s="38"/>
      <x:c r="Q625" s="38"/>
      <x:c r="R625" s="38"/>
      <x:c r="S625" s="38"/>
      <x:c r="T625" s="38"/>
      <x:c r="U625" s="38"/>
      <x:c r="V625" s="38"/>
      <x:c r="W625" s="38"/>
      <x:c r="X625" s="38"/>
      <x:c r="Y625" s="38"/>
      <x:c r="Z625" s="38"/>
    </x:row>
    <x:row r="626">
      <x:c r="A626" s="38"/>
      <x:c r="B626" s="38"/>
      <x:c r="C626" s="38"/>
      <x:c r="D626" s="38"/>
      <x:c r="E626" s="38"/>
      <x:c r="F626" s="38"/>
      <x:c r="G626" s="38"/>
      <x:c r="H626" s="38"/>
      <x:c r="I626" s="38"/>
      <x:c r="J626" s="38"/>
      <x:c r="K626" s="38"/>
      <x:c r="L626" s="38"/>
      <x:c r="M626" s="38"/>
      <x:c r="N626" s="38"/>
      <x:c r="O626" s="38"/>
      <x:c r="P626" s="38"/>
      <x:c r="Q626" s="38"/>
      <x:c r="R626" s="38"/>
      <x:c r="S626" s="38"/>
      <x:c r="T626" s="38"/>
      <x:c r="U626" s="38"/>
      <x:c r="V626" s="38"/>
      <x:c r="W626" s="38"/>
      <x:c r="X626" s="38"/>
      <x:c r="Y626" s="38"/>
      <x:c r="Z626" s="38"/>
    </x:row>
    <x:row r="627">
      <x:c r="A627" s="38"/>
      <x:c r="B627" s="38"/>
      <x:c r="C627" s="38"/>
      <x:c r="D627" s="38"/>
      <x:c r="E627" s="38"/>
      <x:c r="F627" s="38"/>
      <x:c r="G627" s="38"/>
      <x:c r="H627" s="38"/>
      <x:c r="I627" s="38"/>
      <x:c r="J627" s="38"/>
      <x:c r="K627" s="38"/>
      <x:c r="L627" s="38"/>
      <x:c r="M627" s="38"/>
      <x:c r="N627" s="38"/>
      <x:c r="O627" s="38"/>
      <x:c r="P627" s="38"/>
      <x:c r="Q627" s="38"/>
      <x:c r="R627" s="38"/>
      <x:c r="S627" s="38"/>
      <x:c r="T627" s="38"/>
      <x:c r="U627" s="38"/>
      <x:c r="V627" s="38"/>
      <x:c r="W627" s="38"/>
      <x:c r="X627" s="38"/>
      <x:c r="Y627" s="38"/>
      <x:c r="Z627" s="38"/>
    </x:row>
    <x:row r="628">
      <x:c r="A628" s="38"/>
      <x:c r="B628" s="38"/>
      <x:c r="C628" s="38"/>
      <x:c r="D628" s="38"/>
      <x:c r="E628" s="38"/>
      <x:c r="F628" s="38"/>
      <x:c r="G628" s="38"/>
      <x:c r="H628" s="38"/>
      <x:c r="I628" s="38"/>
      <x:c r="J628" s="38"/>
      <x:c r="K628" s="38"/>
      <x:c r="L628" s="38"/>
      <x:c r="M628" s="38"/>
      <x:c r="N628" s="38"/>
      <x:c r="O628" s="38"/>
      <x:c r="P628" s="38"/>
      <x:c r="Q628" s="38"/>
      <x:c r="R628" s="38"/>
      <x:c r="S628" s="38"/>
      <x:c r="T628" s="38"/>
      <x:c r="U628" s="38"/>
      <x:c r="V628" s="38"/>
      <x:c r="W628" s="38"/>
      <x:c r="X628" s="38"/>
      <x:c r="Y628" s="38"/>
      <x:c r="Z628" s="38"/>
    </x:row>
    <x:row r="629">
      <x:c r="A629" s="38"/>
      <x:c r="B629" s="38"/>
      <x:c r="C629" s="38"/>
      <x:c r="D629" s="38"/>
      <x:c r="E629" s="38"/>
      <x:c r="F629" s="38"/>
      <x:c r="G629" s="38"/>
      <x:c r="H629" s="38"/>
      <x:c r="I629" s="38"/>
      <x:c r="J629" s="38"/>
      <x:c r="K629" s="38"/>
      <x:c r="L629" s="38"/>
      <x:c r="M629" s="38"/>
      <x:c r="N629" s="38"/>
      <x:c r="O629" s="38"/>
      <x:c r="P629" s="38"/>
      <x:c r="Q629" s="38"/>
      <x:c r="R629" s="38"/>
      <x:c r="S629" s="38"/>
      <x:c r="T629" s="38"/>
      <x:c r="U629" s="38"/>
      <x:c r="V629" s="38"/>
      <x:c r="W629" s="38"/>
      <x:c r="X629" s="38"/>
      <x:c r="Y629" s="38"/>
      <x:c r="Z629" s="38"/>
    </x:row>
    <x:row r="630">
      <x:c r="A630" s="38"/>
      <x:c r="B630" s="38"/>
      <x:c r="C630" s="38"/>
      <x:c r="D630" s="38"/>
      <x:c r="E630" s="38"/>
      <x:c r="F630" s="38"/>
      <x:c r="G630" s="38"/>
      <x:c r="H630" s="38"/>
      <x:c r="I630" s="38"/>
      <x:c r="J630" s="38"/>
      <x:c r="K630" s="38"/>
      <x:c r="L630" s="38"/>
      <x:c r="M630" s="38"/>
      <x:c r="N630" s="38"/>
      <x:c r="O630" s="38"/>
      <x:c r="P630" s="38"/>
      <x:c r="Q630" s="38"/>
      <x:c r="R630" s="38"/>
      <x:c r="S630" s="38"/>
      <x:c r="T630" s="38"/>
      <x:c r="U630" s="38"/>
      <x:c r="V630" s="38"/>
      <x:c r="W630" s="38"/>
      <x:c r="X630" s="38"/>
      <x:c r="Y630" s="38"/>
      <x:c r="Z630" s="38"/>
    </x:row>
    <x:row r="631">
      <x:c r="A631" s="38"/>
      <x:c r="B631" s="38"/>
      <x:c r="C631" s="38"/>
      <x:c r="D631" s="38"/>
      <x:c r="E631" s="38"/>
      <x:c r="F631" s="38"/>
      <x:c r="G631" s="38"/>
      <x:c r="H631" s="38"/>
      <x:c r="I631" s="38"/>
      <x:c r="J631" s="38"/>
      <x:c r="K631" s="38"/>
      <x:c r="L631" s="38"/>
      <x:c r="M631" s="38"/>
      <x:c r="N631" s="38"/>
      <x:c r="O631" s="38"/>
      <x:c r="P631" s="38"/>
      <x:c r="Q631" s="38"/>
      <x:c r="R631" s="38"/>
      <x:c r="S631" s="38"/>
      <x:c r="T631" s="38"/>
      <x:c r="U631" s="38"/>
      <x:c r="V631" s="38"/>
      <x:c r="W631" s="38"/>
      <x:c r="X631" s="38"/>
      <x:c r="Y631" s="38"/>
      <x:c r="Z631" s="38"/>
    </x:row>
    <x:row r="632">
      <x:c r="A632" s="38"/>
      <x:c r="B632" s="38"/>
      <x:c r="C632" s="38"/>
      <x:c r="D632" s="38"/>
      <x:c r="E632" s="38"/>
      <x:c r="F632" s="38"/>
      <x:c r="G632" s="38"/>
      <x:c r="H632" s="38"/>
      <x:c r="I632" s="38"/>
      <x:c r="J632" s="38"/>
      <x:c r="K632" s="38"/>
      <x:c r="L632" s="38"/>
      <x:c r="M632" s="38"/>
      <x:c r="N632" s="38"/>
      <x:c r="O632" s="38"/>
      <x:c r="P632" s="38"/>
      <x:c r="Q632" s="38"/>
      <x:c r="R632" s="38"/>
      <x:c r="S632" s="38"/>
      <x:c r="T632" s="38"/>
      <x:c r="U632" s="38"/>
      <x:c r="V632" s="38"/>
      <x:c r="W632" s="38"/>
      <x:c r="X632" s="38"/>
      <x:c r="Y632" s="38"/>
      <x:c r="Z632" s="38"/>
    </x:row>
    <x:row r="633">
      <x:c r="A633" s="38"/>
      <x:c r="B633" s="38"/>
      <x:c r="C633" s="38"/>
      <x:c r="D633" s="38"/>
      <x:c r="E633" s="38"/>
      <x:c r="F633" s="38"/>
      <x:c r="G633" s="38"/>
      <x:c r="H633" s="38"/>
      <x:c r="I633" s="38"/>
      <x:c r="J633" s="38"/>
      <x:c r="K633" s="38"/>
      <x:c r="L633" s="38"/>
      <x:c r="M633" s="38"/>
      <x:c r="N633" s="38"/>
      <x:c r="O633" s="38"/>
      <x:c r="P633" s="38"/>
      <x:c r="Q633" s="38"/>
      <x:c r="R633" s="38"/>
      <x:c r="S633" s="38"/>
      <x:c r="T633" s="38"/>
      <x:c r="U633" s="38"/>
      <x:c r="V633" s="38"/>
      <x:c r="W633" s="38"/>
      <x:c r="X633" s="38"/>
      <x:c r="Y633" s="38"/>
      <x:c r="Z633" s="38"/>
    </x:row>
    <x:row r="634">
      <x:c r="A634" s="38"/>
      <x:c r="B634" s="38"/>
      <x:c r="C634" s="38"/>
      <x:c r="D634" s="38"/>
      <x:c r="E634" s="38"/>
      <x:c r="F634" s="38"/>
      <x:c r="G634" s="38"/>
      <x:c r="H634" s="38"/>
      <x:c r="I634" s="38"/>
      <x:c r="J634" s="38"/>
      <x:c r="K634" s="38"/>
      <x:c r="L634" s="38"/>
      <x:c r="M634" s="38"/>
      <x:c r="N634" s="38"/>
      <x:c r="O634" s="38"/>
      <x:c r="P634" s="38"/>
      <x:c r="Q634" s="38"/>
      <x:c r="R634" s="38"/>
      <x:c r="S634" s="38"/>
      <x:c r="T634" s="38"/>
      <x:c r="U634" s="38"/>
      <x:c r="V634" s="38"/>
      <x:c r="W634" s="38"/>
      <x:c r="X634" s="38"/>
      <x:c r="Y634" s="38"/>
      <x:c r="Z634" s="38"/>
    </x:row>
    <x:row r="635">
      <x:c r="A635" s="38"/>
      <x:c r="B635" s="38"/>
      <x:c r="C635" s="38"/>
      <x:c r="D635" s="38"/>
      <x:c r="E635" s="38"/>
      <x:c r="F635" s="38"/>
      <x:c r="G635" s="38"/>
      <x:c r="H635" s="38"/>
      <x:c r="I635" s="38"/>
      <x:c r="J635" s="38"/>
      <x:c r="K635" s="38"/>
      <x:c r="L635" s="38"/>
      <x:c r="M635" s="38"/>
      <x:c r="N635" s="38"/>
      <x:c r="O635" s="38"/>
      <x:c r="P635" s="38"/>
      <x:c r="Q635" s="38"/>
      <x:c r="R635" s="38"/>
      <x:c r="S635" s="38"/>
      <x:c r="T635" s="38"/>
      <x:c r="U635" s="38"/>
      <x:c r="V635" s="38"/>
      <x:c r="W635" s="38"/>
      <x:c r="X635" s="38"/>
      <x:c r="Y635" s="38"/>
      <x:c r="Z635" s="38"/>
    </x:row>
    <x:row r="636">
      <x:c r="A636" s="38"/>
      <x:c r="B636" s="38"/>
      <x:c r="C636" s="38"/>
      <x:c r="D636" s="38"/>
      <x:c r="E636" s="38"/>
      <x:c r="F636" s="38"/>
      <x:c r="G636" s="38"/>
      <x:c r="H636" s="38"/>
      <x:c r="I636" s="38"/>
      <x:c r="J636" s="38"/>
      <x:c r="K636" s="38"/>
      <x:c r="L636" s="38"/>
      <x:c r="M636" s="38"/>
      <x:c r="N636" s="38"/>
      <x:c r="O636" s="38"/>
      <x:c r="P636" s="38"/>
      <x:c r="Q636" s="38"/>
      <x:c r="R636" s="38"/>
      <x:c r="S636" s="38"/>
      <x:c r="T636" s="38"/>
      <x:c r="U636" s="38"/>
      <x:c r="V636" s="38"/>
      <x:c r="W636" s="38"/>
      <x:c r="X636" s="38"/>
      <x:c r="Y636" s="38"/>
      <x:c r="Z636" s="38"/>
    </x:row>
    <x:row r="637">
      <x:c r="A637" s="38"/>
      <x:c r="B637" s="38"/>
      <x:c r="C637" s="38"/>
      <x:c r="D637" s="38"/>
      <x:c r="E637" s="38"/>
      <x:c r="F637" s="38"/>
      <x:c r="G637" s="38"/>
      <x:c r="H637" s="38"/>
      <x:c r="I637" s="38"/>
      <x:c r="J637" s="38"/>
      <x:c r="K637" s="38"/>
      <x:c r="L637" s="38"/>
      <x:c r="M637" s="38"/>
      <x:c r="N637" s="38"/>
      <x:c r="O637" s="38"/>
      <x:c r="P637" s="38"/>
      <x:c r="Q637" s="38"/>
      <x:c r="R637" s="38"/>
      <x:c r="S637" s="38"/>
      <x:c r="T637" s="38"/>
      <x:c r="U637" s="38"/>
      <x:c r="V637" s="38"/>
      <x:c r="W637" s="38"/>
      <x:c r="X637" s="38"/>
      <x:c r="Y637" s="38"/>
      <x:c r="Z637" s="38"/>
    </x:row>
    <x:row r="638">
      <x:c r="A638" s="38"/>
      <x:c r="B638" s="38"/>
      <x:c r="C638" s="38"/>
      <x:c r="D638" s="38"/>
      <x:c r="E638" s="38"/>
      <x:c r="F638" s="38"/>
      <x:c r="G638" s="38"/>
      <x:c r="H638" s="38"/>
      <x:c r="I638" s="38"/>
      <x:c r="J638" s="38"/>
      <x:c r="K638" s="38"/>
      <x:c r="L638" s="38"/>
      <x:c r="M638" s="38"/>
      <x:c r="N638" s="38"/>
      <x:c r="O638" s="38"/>
      <x:c r="P638" s="38"/>
      <x:c r="Q638" s="38"/>
      <x:c r="R638" s="38"/>
      <x:c r="S638" s="38"/>
      <x:c r="T638" s="38"/>
      <x:c r="U638" s="38"/>
      <x:c r="V638" s="38"/>
      <x:c r="W638" s="38"/>
      <x:c r="X638" s="38"/>
      <x:c r="Y638" s="38"/>
      <x:c r="Z638" s="38"/>
    </x:row>
    <x:row r="639">
      <x:c r="A639" s="38"/>
      <x:c r="B639" s="38"/>
      <x:c r="C639" s="38"/>
      <x:c r="D639" s="38"/>
      <x:c r="E639" s="38"/>
      <x:c r="F639" s="38"/>
      <x:c r="G639" s="38"/>
      <x:c r="H639" s="38"/>
      <x:c r="I639" s="38"/>
      <x:c r="J639" s="38"/>
      <x:c r="K639" s="38"/>
      <x:c r="L639" s="38"/>
      <x:c r="M639" s="38"/>
      <x:c r="N639" s="38"/>
      <x:c r="O639" s="38"/>
      <x:c r="P639" s="38"/>
      <x:c r="Q639" s="38"/>
      <x:c r="R639" s="38"/>
      <x:c r="S639" s="38"/>
      <x:c r="T639" s="38"/>
      <x:c r="U639" s="38"/>
      <x:c r="V639" s="38"/>
      <x:c r="W639" s="38"/>
      <x:c r="X639" s="38"/>
      <x:c r="Y639" s="38"/>
      <x:c r="Z639" s="38"/>
    </x:row>
    <x:row r="640">
      <x:c r="A640" s="38"/>
      <x:c r="B640" s="38"/>
      <x:c r="C640" s="38"/>
      <x:c r="D640" s="38"/>
      <x:c r="E640" s="38"/>
      <x:c r="F640" s="38"/>
      <x:c r="G640" s="38"/>
      <x:c r="H640" s="38"/>
      <x:c r="I640" s="38"/>
      <x:c r="J640" s="38"/>
      <x:c r="K640" s="38"/>
      <x:c r="L640" s="38"/>
      <x:c r="M640" s="38"/>
      <x:c r="N640" s="38"/>
      <x:c r="O640" s="38"/>
      <x:c r="P640" s="38"/>
      <x:c r="Q640" s="38"/>
      <x:c r="R640" s="38"/>
      <x:c r="S640" s="38"/>
      <x:c r="T640" s="38"/>
      <x:c r="U640" s="38"/>
      <x:c r="V640" s="38"/>
      <x:c r="W640" s="38"/>
      <x:c r="X640" s="38"/>
      <x:c r="Y640" s="38"/>
      <x:c r="Z640" s="38"/>
    </x:row>
    <x:row r="641">
      <x:c r="A641" s="38"/>
      <x:c r="B641" s="38"/>
      <x:c r="C641" s="38"/>
      <x:c r="D641" s="38"/>
      <x:c r="E641" s="38"/>
      <x:c r="F641" s="38"/>
      <x:c r="G641" s="38"/>
      <x:c r="H641" s="38"/>
      <x:c r="I641" s="38"/>
      <x:c r="J641" s="38"/>
      <x:c r="K641" s="38"/>
      <x:c r="L641" s="38"/>
      <x:c r="M641" s="38"/>
      <x:c r="N641" s="38"/>
      <x:c r="O641" s="38"/>
      <x:c r="P641" s="38"/>
      <x:c r="Q641" s="38"/>
      <x:c r="R641" s="38"/>
      <x:c r="S641" s="38"/>
      <x:c r="T641" s="38"/>
      <x:c r="U641" s="38"/>
      <x:c r="V641" s="38"/>
      <x:c r="W641" s="38"/>
      <x:c r="X641" s="38"/>
      <x:c r="Y641" s="38"/>
      <x:c r="Z641" s="38"/>
    </x:row>
    <x:row r="642">
      <x:c r="A642" s="38"/>
      <x:c r="B642" s="38"/>
      <x:c r="C642" s="38"/>
      <x:c r="D642" s="38"/>
      <x:c r="E642" s="38"/>
      <x:c r="F642" s="38"/>
      <x:c r="G642" s="38"/>
      <x:c r="H642" s="38"/>
      <x:c r="I642" s="38"/>
      <x:c r="J642" s="38"/>
      <x:c r="K642" s="38"/>
      <x:c r="L642" s="38"/>
      <x:c r="M642" s="38"/>
      <x:c r="N642" s="38"/>
      <x:c r="O642" s="38"/>
      <x:c r="P642" s="38"/>
      <x:c r="Q642" s="38"/>
      <x:c r="R642" s="38"/>
      <x:c r="S642" s="38"/>
      <x:c r="T642" s="38"/>
      <x:c r="U642" s="38"/>
      <x:c r="V642" s="38"/>
      <x:c r="W642" s="38"/>
      <x:c r="X642" s="38"/>
      <x:c r="Y642" s="38"/>
      <x:c r="Z642" s="38"/>
    </x:row>
    <x:row r="643">
      <x:c r="A643" s="38"/>
      <x:c r="B643" s="38"/>
      <x:c r="C643" s="38"/>
      <x:c r="D643" s="38"/>
      <x:c r="E643" s="38"/>
      <x:c r="F643" s="38"/>
      <x:c r="G643" s="38"/>
      <x:c r="H643" s="38"/>
      <x:c r="I643" s="38"/>
      <x:c r="J643" s="38"/>
      <x:c r="K643" s="38"/>
      <x:c r="L643" s="38"/>
      <x:c r="M643" s="38"/>
      <x:c r="N643" s="38"/>
      <x:c r="O643" s="38"/>
      <x:c r="P643" s="38"/>
      <x:c r="Q643" s="38"/>
      <x:c r="R643" s="38"/>
      <x:c r="S643" s="38"/>
      <x:c r="T643" s="38"/>
      <x:c r="U643" s="38"/>
      <x:c r="V643" s="38"/>
      <x:c r="W643" s="38"/>
      <x:c r="X643" s="38"/>
      <x:c r="Y643" s="38"/>
      <x:c r="Z643" s="38"/>
    </x:row>
    <x:row r="644">
      <x:c r="A644" s="38"/>
      <x:c r="B644" s="38"/>
      <x:c r="C644" s="38"/>
      <x:c r="D644" s="38"/>
      <x:c r="E644" s="38"/>
      <x:c r="F644" s="38"/>
      <x:c r="G644" s="38"/>
      <x:c r="H644" s="38"/>
      <x:c r="I644" s="38"/>
      <x:c r="J644" s="38"/>
      <x:c r="K644" s="38"/>
      <x:c r="L644" s="38"/>
      <x:c r="M644" s="38"/>
      <x:c r="N644" s="38"/>
      <x:c r="O644" s="38"/>
      <x:c r="P644" s="38"/>
      <x:c r="Q644" s="38"/>
      <x:c r="R644" s="38"/>
      <x:c r="S644" s="38"/>
      <x:c r="T644" s="38"/>
      <x:c r="U644" s="38"/>
      <x:c r="V644" s="38"/>
      <x:c r="W644" s="38"/>
      <x:c r="X644" s="38"/>
      <x:c r="Y644" s="38"/>
      <x:c r="Z644" s="38"/>
    </x:row>
    <x:row r="645">
      <x:c r="A645" s="38"/>
      <x:c r="B645" s="38"/>
      <x:c r="C645" s="38"/>
      <x:c r="D645" s="38"/>
      <x:c r="E645" s="38"/>
      <x:c r="F645" s="38"/>
      <x:c r="G645" s="38"/>
      <x:c r="H645" s="38"/>
      <x:c r="I645" s="38"/>
      <x:c r="J645" s="38"/>
      <x:c r="K645" s="38"/>
      <x:c r="L645" s="38"/>
      <x:c r="M645" s="38"/>
      <x:c r="N645" s="38"/>
      <x:c r="O645" s="38"/>
      <x:c r="P645" s="38"/>
      <x:c r="Q645" s="38"/>
      <x:c r="R645" s="38"/>
      <x:c r="S645" s="38"/>
      <x:c r="T645" s="38"/>
      <x:c r="U645" s="38"/>
      <x:c r="V645" s="38"/>
      <x:c r="W645" s="38"/>
      <x:c r="X645" s="38"/>
      <x:c r="Y645" s="38"/>
      <x:c r="Z645" s="38"/>
    </x:row>
    <x:row r="646">
      <x:c r="A646" s="38"/>
      <x:c r="B646" s="38"/>
      <x:c r="C646" s="38"/>
      <x:c r="D646" s="38"/>
      <x:c r="E646" s="38"/>
      <x:c r="F646" s="38"/>
      <x:c r="G646" s="38"/>
      <x:c r="H646" s="38"/>
      <x:c r="I646" s="38"/>
      <x:c r="J646" s="38"/>
      <x:c r="K646" s="38"/>
      <x:c r="L646" s="38"/>
      <x:c r="M646" s="38"/>
      <x:c r="N646" s="38"/>
      <x:c r="O646" s="38"/>
      <x:c r="P646" s="38"/>
      <x:c r="Q646" s="38"/>
      <x:c r="R646" s="38"/>
      <x:c r="S646" s="38"/>
      <x:c r="T646" s="38"/>
      <x:c r="U646" s="38"/>
      <x:c r="V646" s="38"/>
      <x:c r="W646" s="38"/>
      <x:c r="X646" s="38"/>
      <x:c r="Y646" s="38"/>
      <x:c r="Z646" s="38"/>
    </x:row>
    <x:row r="647">
      <x:c r="A647" s="38"/>
      <x:c r="B647" s="38"/>
      <x:c r="C647" s="38"/>
      <x:c r="D647" s="38"/>
      <x:c r="E647" s="38"/>
      <x:c r="F647" s="38"/>
      <x:c r="G647" s="38"/>
      <x:c r="H647" s="38"/>
      <x:c r="I647" s="38"/>
      <x:c r="J647" s="38"/>
      <x:c r="K647" s="38"/>
      <x:c r="L647" s="38"/>
      <x:c r="M647" s="38"/>
      <x:c r="N647" s="38"/>
      <x:c r="O647" s="38"/>
      <x:c r="P647" s="38"/>
      <x:c r="Q647" s="38"/>
      <x:c r="R647" s="38"/>
      <x:c r="S647" s="38"/>
      <x:c r="T647" s="38"/>
      <x:c r="U647" s="38"/>
      <x:c r="V647" s="38"/>
      <x:c r="W647" s="38"/>
      <x:c r="X647" s="38"/>
      <x:c r="Y647" s="38"/>
      <x:c r="Z647" s="38"/>
    </x:row>
    <x:row r="648">
      <x:c r="A648" s="38"/>
      <x:c r="B648" s="38"/>
      <x:c r="C648" s="38"/>
      <x:c r="D648" s="38"/>
      <x:c r="E648" s="38"/>
      <x:c r="F648" s="38"/>
      <x:c r="G648" s="38"/>
      <x:c r="H648" s="38"/>
      <x:c r="I648" s="38"/>
      <x:c r="J648" s="38"/>
      <x:c r="K648" s="38"/>
      <x:c r="L648" s="38"/>
      <x:c r="M648" s="38"/>
      <x:c r="N648" s="38"/>
      <x:c r="O648" s="38"/>
      <x:c r="P648" s="38"/>
      <x:c r="Q648" s="38"/>
      <x:c r="R648" s="38"/>
      <x:c r="S648" s="38"/>
      <x:c r="T648" s="38"/>
      <x:c r="U648" s="38"/>
      <x:c r="V648" s="38"/>
      <x:c r="W648" s="38"/>
      <x:c r="X648" s="38"/>
      <x:c r="Y648" s="38"/>
      <x:c r="Z648" s="38"/>
    </x:row>
    <x:row r="649">
      <x:c r="A649" s="38"/>
      <x:c r="B649" s="38"/>
      <x:c r="C649" s="38"/>
      <x:c r="D649" s="38"/>
      <x:c r="E649" s="38"/>
      <x:c r="F649" s="38"/>
      <x:c r="G649" s="38"/>
      <x:c r="H649" s="38"/>
      <x:c r="I649" s="38"/>
      <x:c r="J649" s="38"/>
      <x:c r="K649" s="38"/>
      <x:c r="L649" s="38"/>
      <x:c r="M649" s="38"/>
      <x:c r="N649" s="38"/>
      <x:c r="O649" s="38"/>
      <x:c r="P649" s="38"/>
      <x:c r="Q649" s="38"/>
      <x:c r="R649" s="38"/>
      <x:c r="S649" s="38"/>
      <x:c r="T649" s="38"/>
      <x:c r="U649" s="38"/>
      <x:c r="V649" s="38"/>
      <x:c r="W649" s="38"/>
      <x:c r="X649" s="38"/>
      <x:c r="Y649" s="38"/>
      <x:c r="Z649" s="38"/>
    </x:row>
    <x:row r="650">
      <x:c r="A650" s="38"/>
      <x:c r="B650" s="38"/>
      <x:c r="C650" s="38"/>
      <x:c r="D650" s="38"/>
      <x:c r="E650" s="38"/>
      <x:c r="F650" s="38"/>
      <x:c r="G650" s="38"/>
      <x:c r="H650" s="38"/>
      <x:c r="I650" s="38"/>
      <x:c r="J650" s="38"/>
      <x:c r="K650" s="38"/>
      <x:c r="L650" s="38"/>
      <x:c r="M650" s="38"/>
      <x:c r="N650" s="38"/>
      <x:c r="O650" s="38"/>
      <x:c r="P650" s="38"/>
      <x:c r="Q650" s="38"/>
      <x:c r="R650" s="38"/>
      <x:c r="S650" s="38"/>
      <x:c r="T650" s="38"/>
      <x:c r="U650" s="38"/>
      <x:c r="V650" s="38"/>
      <x:c r="W650" s="38"/>
      <x:c r="X650" s="38"/>
      <x:c r="Y650" s="38"/>
      <x:c r="Z650" s="38"/>
    </x:row>
    <x:row r="651">
      <x:c r="A651" s="38"/>
      <x:c r="B651" s="38"/>
      <x:c r="C651" s="38"/>
      <x:c r="D651" s="38"/>
      <x:c r="E651" s="38"/>
      <x:c r="F651" s="38"/>
      <x:c r="G651" s="38"/>
      <x:c r="H651" s="38"/>
      <x:c r="I651" s="38"/>
      <x:c r="J651" s="38"/>
      <x:c r="K651" s="38"/>
      <x:c r="L651" s="38"/>
      <x:c r="M651" s="38"/>
      <x:c r="N651" s="38"/>
      <x:c r="O651" s="38"/>
      <x:c r="P651" s="38"/>
      <x:c r="Q651" s="38"/>
      <x:c r="R651" s="38"/>
      <x:c r="S651" s="38"/>
      <x:c r="T651" s="38"/>
      <x:c r="U651" s="38"/>
      <x:c r="V651" s="38"/>
      <x:c r="W651" s="38"/>
      <x:c r="X651" s="38"/>
      <x:c r="Y651" s="38"/>
      <x:c r="Z651" s="38"/>
    </x:row>
    <x:row r="652">
      <x:c r="A652" s="38"/>
      <x:c r="B652" s="38"/>
      <x:c r="C652" s="38"/>
      <x:c r="D652" s="38"/>
      <x:c r="E652" s="38"/>
      <x:c r="F652" s="38"/>
      <x:c r="G652" s="38"/>
      <x:c r="H652" s="38"/>
      <x:c r="I652" s="38"/>
      <x:c r="J652" s="38"/>
      <x:c r="K652" s="38"/>
      <x:c r="L652" s="38"/>
      <x:c r="M652" s="38"/>
      <x:c r="N652" s="38"/>
      <x:c r="O652" s="38"/>
      <x:c r="P652" s="38"/>
      <x:c r="Q652" s="38"/>
      <x:c r="R652" s="38"/>
      <x:c r="S652" s="38"/>
      <x:c r="T652" s="38"/>
      <x:c r="U652" s="38"/>
      <x:c r="V652" s="38"/>
      <x:c r="W652" s="38"/>
      <x:c r="X652" s="38"/>
      <x:c r="Y652" s="38"/>
      <x:c r="Z652" s="38"/>
    </x:row>
    <x:row r="653">
      <x:c r="A653" s="38"/>
      <x:c r="B653" s="38"/>
      <x:c r="C653" s="38"/>
      <x:c r="D653" s="38"/>
      <x:c r="E653" s="38"/>
      <x:c r="F653" s="38"/>
      <x:c r="G653" s="38"/>
      <x:c r="H653" s="38"/>
      <x:c r="I653" s="38"/>
      <x:c r="J653" s="38"/>
      <x:c r="K653" s="38"/>
      <x:c r="L653" s="38"/>
      <x:c r="M653" s="38"/>
      <x:c r="N653" s="38"/>
      <x:c r="O653" s="38"/>
      <x:c r="P653" s="38"/>
      <x:c r="Q653" s="38"/>
      <x:c r="R653" s="38"/>
      <x:c r="S653" s="38"/>
      <x:c r="T653" s="38"/>
      <x:c r="U653" s="38"/>
      <x:c r="V653" s="38"/>
      <x:c r="W653" s="38"/>
      <x:c r="X653" s="38"/>
      <x:c r="Y653" s="38"/>
      <x:c r="Z653" s="38"/>
    </x:row>
    <x:row r="654">
      <x:c r="A654" s="38"/>
      <x:c r="B654" s="38"/>
      <x:c r="C654" s="38"/>
      <x:c r="D654" s="38"/>
      <x:c r="E654" s="38"/>
      <x:c r="F654" s="38"/>
      <x:c r="G654" s="38"/>
      <x:c r="H654" s="38"/>
      <x:c r="I654" s="38"/>
      <x:c r="J654" s="38"/>
      <x:c r="K654" s="38"/>
      <x:c r="L654" s="38"/>
      <x:c r="M654" s="38"/>
      <x:c r="N654" s="38"/>
      <x:c r="O654" s="38"/>
      <x:c r="P654" s="38"/>
      <x:c r="Q654" s="38"/>
      <x:c r="R654" s="38"/>
      <x:c r="S654" s="38"/>
      <x:c r="T654" s="38"/>
      <x:c r="U654" s="38"/>
      <x:c r="V654" s="38"/>
      <x:c r="W654" s="38"/>
      <x:c r="X654" s="38"/>
      <x:c r="Y654" s="38"/>
      <x:c r="Z654" s="38"/>
    </x:row>
    <x:row r="655">
      <x:c r="A655" s="38"/>
      <x:c r="B655" s="38"/>
      <x:c r="C655" s="38"/>
      <x:c r="D655" s="38"/>
      <x:c r="E655" s="38"/>
      <x:c r="F655" s="38"/>
      <x:c r="G655" s="38"/>
      <x:c r="H655" s="38"/>
      <x:c r="I655" s="38"/>
      <x:c r="J655" s="38"/>
      <x:c r="K655" s="38"/>
      <x:c r="L655" s="38"/>
      <x:c r="M655" s="38"/>
      <x:c r="N655" s="38"/>
      <x:c r="O655" s="38"/>
      <x:c r="P655" s="38"/>
      <x:c r="Q655" s="38"/>
      <x:c r="R655" s="38"/>
      <x:c r="S655" s="38"/>
      <x:c r="T655" s="38"/>
      <x:c r="U655" s="38"/>
      <x:c r="V655" s="38"/>
      <x:c r="W655" s="38"/>
      <x:c r="X655" s="38"/>
      <x:c r="Y655" s="38"/>
      <x:c r="Z655" s="38"/>
    </x:row>
    <x:row r="656">
      <x:c r="A656" s="38"/>
      <x:c r="B656" s="38"/>
      <x:c r="C656" s="38"/>
      <x:c r="D656" s="38"/>
      <x:c r="E656" s="38"/>
      <x:c r="F656" s="38"/>
      <x:c r="G656" s="38"/>
      <x:c r="H656" s="38"/>
      <x:c r="I656" s="38"/>
      <x:c r="J656" s="38"/>
      <x:c r="K656" s="38"/>
      <x:c r="L656" s="38"/>
      <x:c r="M656" s="38"/>
      <x:c r="N656" s="38"/>
      <x:c r="O656" s="38"/>
      <x:c r="P656" s="38"/>
      <x:c r="Q656" s="38"/>
      <x:c r="R656" s="38"/>
      <x:c r="S656" s="38"/>
      <x:c r="T656" s="38"/>
      <x:c r="U656" s="38"/>
      <x:c r="V656" s="38"/>
      <x:c r="W656" s="38"/>
      <x:c r="X656" s="38"/>
      <x:c r="Y656" s="38"/>
      <x:c r="Z656" s="38"/>
    </x:row>
    <x:row r="657">
      <x:c r="A657" s="38"/>
      <x:c r="B657" s="38"/>
      <x:c r="C657" s="38"/>
      <x:c r="D657" s="38"/>
      <x:c r="E657" s="38"/>
      <x:c r="F657" s="38"/>
      <x:c r="G657" s="38"/>
      <x:c r="H657" s="38"/>
      <x:c r="I657" s="38"/>
      <x:c r="J657" s="38"/>
      <x:c r="K657" s="38"/>
      <x:c r="L657" s="38"/>
      <x:c r="M657" s="38"/>
      <x:c r="N657" s="38"/>
      <x:c r="O657" s="38"/>
      <x:c r="P657" s="38"/>
      <x:c r="Q657" s="38"/>
      <x:c r="R657" s="38"/>
      <x:c r="S657" s="38"/>
      <x:c r="T657" s="38"/>
      <x:c r="U657" s="38"/>
      <x:c r="V657" s="38"/>
      <x:c r="W657" s="38"/>
      <x:c r="X657" s="38"/>
      <x:c r="Y657" s="38"/>
      <x:c r="Z657" s="38"/>
    </x:row>
    <x:row r="658">
      <x:c r="A658" s="38"/>
      <x:c r="B658" s="38"/>
      <x:c r="C658" s="38"/>
      <x:c r="D658" s="38"/>
      <x:c r="E658" s="38"/>
      <x:c r="F658" s="38"/>
      <x:c r="G658" s="38"/>
      <x:c r="H658" s="38"/>
      <x:c r="I658" s="38"/>
      <x:c r="J658" s="38"/>
      <x:c r="K658" s="38"/>
      <x:c r="L658" s="38"/>
      <x:c r="M658" s="38"/>
      <x:c r="N658" s="38"/>
      <x:c r="O658" s="38"/>
      <x:c r="P658" s="38"/>
      <x:c r="Q658" s="38"/>
      <x:c r="R658" s="38"/>
      <x:c r="S658" s="38"/>
      <x:c r="T658" s="38"/>
      <x:c r="U658" s="38"/>
      <x:c r="V658" s="38"/>
      <x:c r="W658" s="38"/>
      <x:c r="X658" s="38"/>
      <x:c r="Y658" s="38"/>
      <x:c r="Z658" s="38"/>
    </x:row>
    <x:row r="659">
      <x:c r="A659" s="38"/>
      <x:c r="B659" s="38"/>
      <x:c r="C659" s="38"/>
      <x:c r="D659" s="38"/>
      <x:c r="E659" s="38"/>
      <x:c r="F659" s="38"/>
      <x:c r="G659" s="38"/>
      <x:c r="H659" s="38"/>
      <x:c r="I659" s="38"/>
      <x:c r="J659" s="38"/>
      <x:c r="K659" s="38"/>
      <x:c r="L659" s="38"/>
      <x:c r="M659" s="38"/>
      <x:c r="N659" s="38"/>
      <x:c r="O659" s="38"/>
      <x:c r="P659" s="38"/>
      <x:c r="Q659" s="38"/>
      <x:c r="R659" s="38"/>
      <x:c r="S659" s="38"/>
      <x:c r="T659" s="38"/>
      <x:c r="U659" s="38"/>
      <x:c r="V659" s="38"/>
      <x:c r="W659" s="38"/>
      <x:c r="X659" s="38"/>
      <x:c r="Y659" s="38"/>
      <x:c r="Z659" s="38"/>
    </x:row>
    <x:row r="660">
      <x:c r="A660" s="38"/>
      <x:c r="B660" s="38"/>
      <x:c r="C660" s="38"/>
      <x:c r="D660" s="38"/>
      <x:c r="E660" s="38"/>
      <x:c r="F660" s="38"/>
      <x:c r="G660" s="38"/>
      <x:c r="H660" s="38"/>
      <x:c r="I660" s="38"/>
      <x:c r="J660" s="38"/>
      <x:c r="K660" s="38"/>
      <x:c r="L660" s="38"/>
      <x:c r="M660" s="38"/>
      <x:c r="N660" s="38"/>
      <x:c r="O660" s="38"/>
      <x:c r="P660" s="38"/>
      <x:c r="Q660" s="38"/>
      <x:c r="R660" s="38"/>
      <x:c r="S660" s="38"/>
      <x:c r="T660" s="38"/>
      <x:c r="U660" s="38"/>
      <x:c r="V660" s="38"/>
      <x:c r="W660" s="38"/>
      <x:c r="X660" s="38"/>
      <x:c r="Y660" s="38"/>
      <x:c r="Z660" s="38"/>
    </x:row>
    <x:row r="661">
      <x:c r="A661" s="38"/>
      <x:c r="B661" s="38"/>
      <x:c r="C661" s="38"/>
      <x:c r="D661" s="38"/>
      <x:c r="E661" s="38"/>
      <x:c r="F661" s="38"/>
      <x:c r="G661" s="38"/>
      <x:c r="H661" s="38"/>
      <x:c r="I661" s="38"/>
      <x:c r="J661" s="38"/>
      <x:c r="K661" s="38"/>
      <x:c r="L661" s="38"/>
      <x:c r="M661" s="38"/>
      <x:c r="N661" s="38"/>
      <x:c r="O661" s="38"/>
      <x:c r="P661" s="38"/>
      <x:c r="Q661" s="38"/>
      <x:c r="R661" s="38"/>
      <x:c r="S661" s="38"/>
      <x:c r="T661" s="38"/>
      <x:c r="U661" s="38"/>
      <x:c r="V661" s="38"/>
      <x:c r="W661" s="38"/>
      <x:c r="X661" s="38"/>
      <x:c r="Y661" s="38"/>
      <x:c r="Z661" s="38"/>
    </x:row>
    <x:row r="662">
      <x:c r="A662" s="38"/>
      <x:c r="B662" s="38"/>
      <x:c r="C662" s="38"/>
      <x:c r="D662" s="38"/>
      <x:c r="E662" s="38"/>
      <x:c r="F662" s="38"/>
      <x:c r="G662" s="38"/>
      <x:c r="H662" s="38"/>
      <x:c r="I662" s="38"/>
      <x:c r="J662" s="38"/>
      <x:c r="K662" s="38"/>
      <x:c r="L662" s="38"/>
      <x:c r="M662" s="38"/>
      <x:c r="N662" s="38"/>
      <x:c r="O662" s="38"/>
      <x:c r="P662" s="38"/>
      <x:c r="Q662" s="38"/>
      <x:c r="R662" s="38"/>
      <x:c r="S662" s="38"/>
      <x:c r="T662" s="38"/>
      <x:c r="U662" s="38"/>
      <x:c r="V662" s="38"/>
      <x:c r="W662" s="38"/>
      <x:c r="X662" s="38"/>
      <x:c r="Y662" s="38"/>
      <x:c r="Z662" s="38"/>
    </x:row>
    <x:row r="663">
      <x:c r="A663" s="38"/>
      <x:c r="B663" s="38"/>
      <x:c r="C663" s="38"/>
      <x:c r="D663" s="38"/>
      <x:c r="E663" s="38"/>
      <x:c r="F663" s="38"/>
      <x:c r="G663" s="38"/>
      <x:c r="H663" s="38"/>
      <x:c r="I663" s="38"/>
      <x:c r="J663" s="38"/>
      <x:c r="K663" s="38"/>
      <x:c r="L663" s="38"/>
      <x:c r="M663" s="38"/>
      <x:c r="N663" s="38"/>
      <x:c r="O663" s="38"/>
      <x:c r="P663" s="38"/>
      <x:c r="Q663" s="38"/>
      <x:c r="R663" s="38"/>
      <x:c r="S663" s="38"/>
      <x:c r="T663" s="38"/>
      <x:c r="U663" s="38"/>
      <x:c r="V663" s="38"/>
      <x:c r="W663" s="38"/>
      <x:c r="X663" s="38"/>
      <x:c r="Y663" s="38"/>
      <x:c r="Z663" s="38"/>
    </x:row>
    <x:row r="664">
      <x:c r="A664" s="38"/>
      <x:c r="B664" s="38"/>
      <x:c r="C664" s="38"/>
      <x:c r="D664" s="38"/>
      <x:c r="E664" s="38"/>
      <x:c r="F664" s="38"/>
      <x:c r="G664" s="38"/>
      <x:c r="H664" s="38"/>
      <x:c r="I664" s="38"/>
      <x:c r="J664" s="38"/>
      <x:c r="K664" s="38"/>
      <x:c r="L664" s="38"/>
      <x:c r="M664" s="38"/>
      <x:c r="N664" s="38"/>
      <x:c r="O664" s="38"/>
      <x:c r="P664" s="38"/>
      <x:c r="Q664" s="38"/>
      <x:c r="R664" s="38"/>
      <x:c r="S664" s="38"/>
      <x:c r="T664" s="38"/>
      <x:c r="U664" s="38"/>
      <x:c r="V664" s="38"/>
      <x:c r="W664" s="38"/>
      <x:c r="X664" s="38"/>
      <x:c r="Y664" s="38"/>
      <x:c r="Z664" s="38"/>
    </x:row>
    <x:row r="665">
      <x:c r="A665" s="38"/>
      <x:c r="B665" s="38"/>
      <x:c r="C665" s="38"/>
      <x:c r="D665" s="38"/>
      <x:c r="E665" s="38"/>
      <x:c r="F665" s="38"/>
      <x:c r="G665" s="38"/>
      <x:c r="H665" s="38"/>
      <x:c r="I665" s="38"/>
      <x:c r="J665" s="38"/>
      <x:c r="K665" s="38"/>
      <x:c r="L665" s="38"/>
      <x:c r="M665" s="38"/>
      <x:c r="N665" s="38"/>
      <x:c r="O665" s="38"/>
      <x:c r="P665" s="38"/>
      <x:c r="Q665" s="38"/>
      <x:c r="R665" s="38"/>
      <x:c r="S665" s="38"/>
      <x:c r="T665" s="38"/>
      <x:c r="U665" s="38"/>
      <x:c r="V665" s="38"/>
      <x:c r="W665" s="38"/>
      <x:c r="X665" s="38"/>
      <x:c r="Y665" s="38"/>
      <x:c r="Z665" s="38"/>
    </x:row>
    <x:row r="666">
      <x:c r="A666" s="38"/>
      <x:c r="B666" s="38"/>
      <x:c r="C666" s="38"/>
      <x:c r="D666" s="38"/>
      <x:c r="E666" s="38"/>
      <x:c r="F666" s="38"/>
      <x:c r="G666" s="38"/>
      <x:c r="H666" s="38"/>
      <x:c r="I666" s="38"/>
      <x:c r="J666" s="38"/>
      <x:c r="K666" s="38"/>
      <x:c r="L666" s="38"/>
      <x:c r="M666" s="38"/>
      <x:c r="N666" s="38"/>
      <x:c r="O666" s="38"/>
      <x:c r="P666" s="38"/>
      <x:c r="Q666" s="38"/>
      <x:c r="R666" s="38"/>
      <x:c r="S666" s="38"/>
      <x:c r="T666" s="38"/>
      <x:c r="U666" s="38"/>
      <x:c r="V666" s="38"/>
      <x:c r="W666" s="38"/>
      <x:c r="X666" s="38"/>
      <x:c r="Y666" s="38"/>
      <x:c r="Z666" s="38"/>
    </x:row>
    <x:row r="667">
      <x:c r="A667" s="38"/>
      <x:c r="B667" s="38"/>
      <x:c r="C667" s="38"/>
      <x:c r="D667" s="38"/>
      <x:c r="E667" s="38"/>
      <x:c r="F667" s="38"/>
      <x:c r="G667" s="38"/>
      <x:c r="H667" s="38"/>
      <x:c r="I667" s="38"/>
      <x:c r="J667" s="38"/>
      <x:c r="K667" s="38"/>
      <x:c r="L667" s="38"/>
      <x:c r="M667" s="38"/>
      <x:c r="N667" s="38"/>
      <x:c r="O667" s="38"/>
      <x:c r="P667" s="38"/>
      <x:c r="Q667" s="38"/>
      <x:c r="R667" s="38"/>
      <x:c r="S667" s="38"/>
      <x:c r="T667" s="38"/>
      <x:c r="U667" s="38"/>
      <x:c r="V667" s="38"/>
      <x:c r="W667" s="38"/>
      <x:c r="X667" s="38"/>
      <x:c r="Y667" s="38"/>
      <x:c r="Z667" s="38"/>
    </x:row>
    <x:row r="668">
      <x:c r="A668" s="38"/>
      <x:c r="B668" s="38"/>
      <x:c r="C668" s="38"/>
      <x:c r="D668" s="38"/>
      <x:c r="E668" s="38"/>
      <x:c r="F668" s="38"/>
      <x:c r="G668" s="38"/>
      <x:c r="H668" s="38"/>
      <x:c r="I668" s="38"/>
      <x:c r="J668" s="38"/>
      <x:c r="K668" s="38"/>
      <x:c r="L668" s="38"/>
      <x:c r="M668" s="38"/>
      <x:c r="N668" s="38"/>
      <x:c r="O668" s="38"/>
      <x:c r="P668" s="38"/>
      <x:c r="Q668" s="38"/>
      <x:c r="R668" s="38"/>
      <x:c r="S668" s="38"/>
      <x:c r="T668" s="38"/>
      <x:c r="U668" s="38"/>
      <x:c r="V668" s="38"/>
      <x:c r="W668" s="38"/>
      <x:c r="X668" s="38"/>
      <x:c r="Y668" s="38"/>
      <x:c r="Z668" s="38"/>
    </x:row>
    <x:row r="669">
      <x:c r="A669" s="38"/>
      <x:c r="B669" s="38"/>
      <x:c r="C669" s="38"/>
      <x:c r="D669" s="38"/>
      <x:c r="E669" s="38"/>
      <x:c r="F669" s="38"/>
      <x:c r="G669" s="38"/>
      <x:c r="H669" s="38"/>
      <x:c r="I669" s="38"/>
      <x:c r="J669" s="38"/>
      <x:c r="K669" s="38"/>
      <x:c r="L669" s="38"/>
      <x:c r="M669" s="38"/>
      <x:c r="N669" s="38"/>
      <x:c r="O669" s="38"/>
      <x:c r="P669" s="38"/>
      <x:c r="Q669" s="38"/>
      <x:c r="R669" s="38"/>
      <x:c r="S669" s="38"/>
      <x:c r="T669" s="38"/>
      <x:c r="U669" s="38"/>
      <x:c r="V669" s="38"/>
      <x:c r="W669" s="38"/>
      <x:c r="X669" s="38"/>
      <x:c r="Y669" s="38"/>
      <x:c r="Z669" s="38"/>
    </x:row>
    <x:row r="670">
      <x:c r="A670" s="38"/>
      <x:c r="B670" s="38"/>
      <x:c r="C670" s="38"/>
      <x:c r="D670" s="38"/>
      <x:c r="E670" s="38"/>
      <x:c r="F670" s="38"/>
      <x:c r="G670" s="38"/>
      <x:c r="H670" s="38"/>
      <x:c r="I670" s="38"/>
      <x:c r="J670" s="38"/>
      <x:c r="K670" s="38"/>
      <x:c r="L670" s="38"/>
      <x:c r="M670" s="38"/>
      <x:c r="N670" s="38"/>
      <x:c r="O670" s="38"/>
      <x:c r="P670" s="38"/>
      <x:c r="Q670" s="38"/>
      <x:c r="R670" s="38"/>
      <x:c r="S670" s="38"/>
      <x:c r="T670" s="38"/>
      <x:c r="U670" s="38"/>
      <x:c r="V670" s="38"/>
      <x:c r="W670" s="38"/>
      <x:c r="X670" s="38"/>
      <x:c r="Y670" s="38"/>
      <x:c r="Z670" s="38"/>
    </x:row>
    <x:row r="671">
      <x:c r="A671" s="38"/>
      <x:c r="B671" s="38"/>
      <x:c r="C671" s="38"/>
      <x:c r="D671" s="38"/>
      <x:c r="E671" s="38"/>
      <x:c r="F671" s="38"/>
      <x:c r="G671" s="38"/>
      <x:c r="H671" s="38"/>
      <x:c r="I671" s="38"/>
      <x:c r="J671" s="38"/>
      <x:c r="K671" s="38"/>
      <x:c r="L671" s="38"/>
      <x:c r="M671" s="38"/>
      <x:c r="N671" s="38"/>
      <x:c r="O671" s="38"/>
      <x:c r="P671" s="38"/>
      <x:c r="Q671" s="38"/>
      <x:c r="R671" s="38"/>
      <x:c r="S671" s="38"/>
      <x:c r="T671" s="38"/>
      <x:c r="U671" s="38"/>
      <x:c r="V671" s="38"/>
      <x:c r="W671" s="38"/>
      <x:c r="X671" s="38"/>
      <x:c r="Y671" s="38"/>
      <x:c r="Z671" s="38"/>
    </x:row>
    <x:row r="672">
      <x:c r="A672" s="38"/>
      <x:c r="B672" s="38"/>
      <x:c r="C672" s="38"/>
      <x:c r="D672" s="38"/>
      <x:c r="E672" s="38"/>
      <x:c r="F672" s="38"/>
      <x:c r="G672" s="38"/>
      <x:c r="H672" s="38"/>
      <x:c r="I672" s="38"/>
      <x:c r="J672" s="38"/>
      <x:c r="K672" s="38"/>
      <x:c r="L672" s="38"/>
      <x:c r="M672" s="38"/>
      <x:c r="N672" s="38"/>
      <x:c r="O672" s="38"/>
      <x:c r="P672" s="38"/>
      <x:c r="Q672" s="38"/>
      <x:c r="R672" s="38"/>
      <x:c r="S672" s="38"/>
      <x:c r="T672" s="38"/>
      <x:c r="U672" s="38"/>
      <x:c r="V672" s="38"/>
      <x:c r="W672" s="38"/>
      <x:c r="X672" s="38"/>
      <x:c r="Y672" s="38"/>
      <x:c r="Z672" s="38"/>
    </x:row>
    <x:row r="673">
      <x:c r="A673" s="38"/>
      <x:c r="B673" s="38"/>
      <x:c r="C673" s="38"/>
      <x:c r="D673" s="38"/>
      <x:c r="E673" s="38"/>
      <x:c r="F673" s="38"/>
      <x:c r="G673" s="38"/>
      <x:c r="H673" s="38"/>
      <x:c r="I673" s="38"/>
      <x:c r="J673" s="38"/>
      <x:c r="K673" s="38"/>
      <x:c r="L673" s="38"/>
      <x:c r="M673" s="38"/>
      <x:c r="N673" s="38"/>
      <x:c r="O673" s="38"/>
      <x:c r="P673" s="38"/>
      <x:c r="Q673" s="38"/>
      <x:c r="R673" s="38"/>
      <x:c r="S673" s="38"/>
      <x:c r="T673" s="38"/>
      <x:c r="U673" s="38"/>
      <x:c r="V673" s="38"/>
      <x:c r="W673" s="38"/>
      <x:c r="X673" s="38"/>
      <x:c r="Y673" s="38"/>
      <x:c r="Z673" s="38"/>
    </x:row>
    <x:row r="674">
      <x:c r="A674" s="38"/>
      <x:c r="B674" s="38"/>
      <x:c r="C674" s="38"/>
      <x:c r="D674" s="38"/>
      <x:c r="E674" s="38"/>
      <x:c r="F674" s="38"/>
      <x:c r="G674" s="38"/>
      <x:c r="H674" s="38"/>
      <x:c r="I674" s="38"/>
      <x:c r="J674" s="38"/>
      <x:c r="K674" s="38"/>
      <x:c r="L674" s="38"/>
      <x:c r="M674" s="38"/>
      <x:c r="N674" s="38"/>
      <x:c r="O674" s="38"/>
      <x:c r="P674" s="38"/>
      <x:c r="Q674" s="38"/>
      <x:c r="R674" s="38"/>
      <x:c r="S674" s="38"/>
      <x:c r="T674" s="38"/>
      <x:c r="U674" s="38"/>
      <x:c r="V674" s="38"/>
      <x:c r="W674" s="38"/>
      <x:c r="X674" s="38"/>
      <x:c r="Y674" s="38"/>
      <x:c r="Z674" s="38"/>
    </x:row>
    <x:row r="675">
      <x:c r="A675" s="38"/>
      <x:c r="B675" s="38"/>
      <x:c r="C675" s="38"/>
      <x:c r="D675" s="38"/>
      <x:c r="E675" s="38"/>
      <x:c r="F675" s="38"/>
      <x:c r="G675" s="38"/>
      <x:c r="H675" s="38"/>
      <x:c r="I675" s="38"/>
      <x:c r="J675" s="38"/>
      <x:c r="K675" s="38"/>
      <x:c r="L675" s="38"/>
      <x:c r="M675" s="38"/>
      <x:c r="N675" s="38"/>
      <x:c r="O675" s="38"/>
      <x:c r="P675" s="38"/>
      <x:c r="Q675" s="38"/>
      <x:c r="R675" s="38"/>
      <x:c r="S675" s="38"/>
      <x:c r="T675" s="38"/>
      <x:c r="U675" s="38"/>
      <x:c r="V675" s="38"/>
      <x:c r="W675" s="38"/>
      <x:c r="X675" s="38"/>
      <x:c r="Y675" s="38"/>
      <x:c r="Z675" s="38"/>
    </x:row>
    <x:row r="676">
      <x:c r="A676" s="38"/>
      <x:c r="B676" s="38"/>
      <x:c r="C676" s="38"/>
      <x:c r="D676" s="38"/>
      <x:c r="E676" s="38"/>
      <x:c r="F676" s="38"/>
      <x:c r="G676" s="38"/>
      <x:c r="H676" s="38"/>
      <x:c r="I676" s="38"/>
      <x:c r="J676" s="38"/>
      <x:c r="K676" s="38"/>
      <x:c r="L676" s="38"/>
      <x:c r="M676" s="38"/>
      <x:c r="N676" s="38"/>
      <x:c r="O676" s="38"/>
      <x:c r="P676" s="38"/>
      <x:c r="Q676" s="38"/>
      <x:c r="R676" s="38"/>
      <x:c r="S676" s="38"/>
      <x:c r="T676" s="38"/>
      <x:c r="U676" s="38"/>
      <x:c r="V676" s="38"/>
      <x:c r="W676" s="38"/>
      <x:c r="X676" s="38"/>
      <x:c r="Y676" s="38"/>
      <x:c r="Z676" s="38"/>
    </x:row>
    <x:row r="677">
      <x:c r="A677" s="38"/>
      <x:c r="B677" s="38"/>
      <x:c r="C677" s="38"/>
      <x:c r="D677" s="38"/>
      <x:c r="E677" s="38"/>
      <x:c r="F677" s="38"/>
      <x:c r="G677" s="38"/>
      <x:c r="H677" s="38"/>
      <x:c r="I677" s="38"/>
      <x:c r="J677" s="38"/>
      <x:c r="K677" s="38"/>
      <x:c r="L677" s="38"/>
      <x:c r="M677" s="38"/>
      <x:c r="N677" s="38"/>
      <x:c r="O677" s="38"/>
      <x:c r="P677" s="38"/>
      <x:c r="Q677" s="38"/>
      <x:c r="R677" s="38"/>
      <x:c r="S677" s="38"/>
      <x:c r="T677" s="38"/>
      <x:c r="U677" s="38"/>
      <x:c r="V677" s="38"/>
      <x:c r="W677" s="38"/>
      <x:c r="X677" s="38"/>
      <x:c r="Y677" s="38"/>
      <x:c r="Z677" s="38"/>
    </x:row>
    <x:row r="678">
      <x:c r="A678" s="38"/>
      <x:c r="B678" s="38"/>
      <x:c r="C678" s="38"/>
      <x:c r="D678" s="38"/>
      <x:c r="E678" s="38"/>
      <x:c r="F678" s="38"/>
      <x:c r="G678" s="38"/>
      <x:c r="H678" s="38"/>
      <x:c r="I678" s="38"/>
      <x:c r="J678" s="38"/>
      <x:c r="K678" s="38"/>
      <x:c r="L678" s="38"/>
      <x:c r="M678" s="38"/>
      <x:c r="N678" s="38"/>
      <x:c r="O678" s="38"/>
      <x:c r="P678" s="38"/>
      <x:c r="Q678" s="38"/>
      <x:c r="R678" s="38"/>
      <x:c r="S678" s="38"/>
      <x:c r="T678" s="38"/>
      <x:c r="U678" s="38"/>
      <x:c r="V678" s="38"/>
      <x:c r="W678" s="38"/>
      <x:c r="X678" s="38"/>
      <x:c r="Y678" s="38"/>
      <x:c r="Z678" s="38"/>
    </x:row>
    <x:row r="679">
      <x:c r="A679" s="38"/>
      <x:c r="B679" s="38"/>
      <x:c r="C679" s="38"/>
      <x:c r="D679" s="38"/>
      <x:c r="E679" s="38"/>
      <x:c r="F679" s="38"/>
      <x:c r="G679" s="38"/>
      <x:c r="H679" s="38"/>
      <x:c r="I679" s="38"/>
      <x:c r="J679" s="38"/>
      <x:c r="K679" s="38"/>
      <x:c r="L679" s="38"/>
      <x:c r="M679" s="38"/>
      <x:c r="N679" s="38"/>
      <x:c r="O679" s="38"/>
      <x:c r="P679" s="38"/>
      <x:c r="Q679" s="38"/>
      <x:c r="R679" s="38"/>
      <x:c r="S679" s="38"/>
      <x:c r="T679" s="38"/>
      <x:c r="U679" s="38"/>
      <x:c r="V679" s="38"/>
      <x:c r="W679" s="38"/>
      <x:c r="X679" s="38"/>
      <x:c r="Y679" s="38"/>
      <x:c r="Z679" s="38"/>
    </x:row>
    <x:row r="680">
      <x:c r="A680" s="38"/>
      <x:c r="B680" s="38"/>
      <x:c r="C680" s="38"/>
      <x:c r="D680" s="38"/>
      <x:c r="E680" s="38"/>
      <x:c r="F680" s="38"/>
      <x:c r="G680" s="38"/>
      <x:c r="H680" s="38"/>
      <x:c r="I680" s="38"/>
      <x:c r="J680" s="38"/>
      <x:c r="K680" s="38"/>
      <x:c r="L680" s="38"/>
      <x:c r="M680" s="38"/>
      <x:c r="N680" s="38"/>
      <x:c r="O680" s="38"/>
      <x:c r="P680" s="38"/>
      <x:c r="Q680" s="38"/>
      <x:c r="R680" s="38"/>
      <x:c r="S680" s="38"/>
      <x:c r="T680" s="38"/>
      <x:c r="U680" s="38"/>
      <x:c r="V680" s="38"/>
      <x:c r="W680" s="38"/>
      <x:c r="X680" s="38"/>
      <x:c r="Y680" s="38"/>
      <x:c r="Z680" s="38"/>
    </x:row>
    <x:row r="681">
      <x:c r="A681" s="38"/>
      <x:c r="B681" s="38"/>
      <x:c r="C681" s="38"/>
      <x:c r="D681" s="38"/>
      <x:c r="E681" s="38"/>
      <x:c r="F681" s="38"/>
      <x:c r="G681" s="38"/>
      <x:c r="H681" s="38"/>
      <x:c r="I681" s="38"/>
      <x:c r="J681" s="38"/>
      <x:c r="K681" s="38"/>
      <x:c r="L681" s="38"/>
      <x:c r="M681" s="38"/>
      <x:c r="N681" s="38"/>
      <x:c r="O681" s="38"/>
      <x:c r="P681" s="38"/>
      <x:c r="Q681" s="38"/>
      <x:c r="R681" s="38"/>
      <x:c r="S681" s="38"/>
      <x:c r="T681" s="38"/>
      <x:c r="U681" s="38"/>
      <x:c r="V681" s="38"/>
      <x:c r="W681" s="38"/>
      <x:c r="X681" s="38"/>
      <x:c r="Y681" s="38"/>
      <x:c r="Z681" s="38"/>
    </x:row>
    <x:row r="682">
      <x:c r="A682" s="38"/>
      <x:c r="B682" s="38"/>
      <x:c r="C682" s="38"/>
      <x:c r="D682" s="38"/>
      <x:c r="E682" s="38"/>
      <x:c r="F682" s="38"/>
      <x:c r="G682" s="38"/>
      <x:c r="H682" s="38"/>
      <x:c r="I682" s="38"/>
      <x:c r="J682" s="38"/>
      <x:c r="K682" s="38"/>
      <x:c r="L682" s="38"/>
      <x:c r="M682" s="38"/>
      <x:c r="N682" s="38"/>
      <x:c r="O682" s="38"/>
      <x:c r="P682" s="38"/>
      <x:c r="Q682" s="38"/>
      <x:c r="R682" s="38"/>
      <x:c r="S682" s="38"/>
      <x:c r="T682" s="38"/>
      <x:c r="U682" s="38"/>
      <x:c r="V682" s="38"/>
      <x:c r="W682" s="38"/>
      <x:c r="X682" s="38"/>
      <x:c r="Y682" s="38"/>
      <x:c r="Z682" s="38"/>
    </x:row>
    <x:row r="683">
      <x:c r="A683" s="38"/>
      <x:c r="B683" s="38"/>
      <x:c r="C683" s="38"/>
      <x:c r="D683" s="38"/>
      <x:c r="E683" s="38"/>
      <x:c r="F683" s="38"/>
      <x:c r="G683" s="38"/>
      <x:c r="H683" s="38"/>
      <x:c r="I683" s="38"/>
      <x:c r="J683" s="38"/>
      <x:c r="K683" s="38"/>
      <x:c r="L683" s="38"/>
      <x:c r="M683" s="38"/>
      <x:c r="N683" s="38"/>
      <x:c r="O683" s="38"/>
      <x:c r="P683" s="38"/>
      <x:c r="Q683" s="38"/>
      <x:c r="R683" s="38"/>
      <x:c r="S683" s="38"/>
      <x:c r="T683" s="38"/>
      <x:c r="U683" s="38"/>
      <x:c r="V683" s="38"/>
      <x:c r="W683" s="38"/>
      <x:c r="X683" s="38"/>
      <x:c r="Y683" s="38"/>
      <x:c r="Z683" s="38"/>
    </x:row>
    <x:row r="684">
      <x:c r="A684" s="38"/>
      <x:c r="B684" s="38"/>
      <x:c r="C684" s="38"/>
      <x:c r="D684" s="38"/>
      <x:c r="E684" s="38"/>
      <x:c r="F684" s="38"/>
      <x:c r="G684" s="38"/>
      <x:c r="H684" s="38"/>
      <x:c r="I684" s="38"/>
      <x:c r="J684" s="38"/>
      <x:c r="K684" s="38"/>
      <x:c r="L684" s="38"/>
      <x:c r="M684" s="38"/>
      <x:c r="N684" s="38"/>
      <x:c r="O684" s="38"/>
      <x:c r="P684" s="38"/>
      <x:c r="Q684" s="38"/>
      <x:c r="R684" s="38"/>
      <x:c r="S684" s="38"/>
      <x:c r="T684" s="38"/>
      <x:c r="U684" s="38"/>
      <x:c r="V684" s="38"/>
      <x:c r="W684" s="38"/>
      <x:c r="X684" s="38"/>
      <x:c r="Y684" s="38"/>
      <x:c r="Z684" s="38"/>
    </x:row>
    <x:row r="685">
      <x:c r="A685" s="38"/>
      <x:c r="B685" s="38"/>
      <x:c r="C685" s="38"/>
      <x:c r="D685" s="38"/>
      <x:c r="E685" s="38"/>
      <x:c r="F685" s="38"/>
      <x:c r="G685" s="38"/>
      <x:c r="H685" s="38"/>
      <x:c r="I685" s="38"/>
      <x:c r="J685" s="38"/>
      <x:c r="K685" s="38"/>
      <x:c r="L685" s="38"/>
      <x:c r="M685" s="38"/>
      <x:c r="N685" s="38"/>
      <x:c r="O685" s="38"/>
      <x:c r="P685" s="38"/>
      <x:c r="Q685" s="38"/>
      <x:c r="R685" s="38"/>
      <x:c r="S685" s="38"/>
      <x:c r="T685" s="38"/>
      <x:c r="U685" s="38"/>
      <x:c r="V685" s="38"/>
      <x:c r="W685" s="38"/>
      <x:c r="X685" s="38"/>
      <x:c r="Y685" s="38"/>
      <x:c r="Z685" s="38"/>
    </x:row>
    <x:row r="686">
      <x:c r="A686" s="38"/>
      <x:c r="B686" s="38"/>
      <x:c r="C686" s="38"/>
      <x:c r="D686" s="38"/>
      <x:c r="E686" s="38"/>
      <x:c r="F686" s="38"/>
      <x:c r="G686" s="38"/>
      <x:c r="H686" s="38"/>
      <x:c r="I686" s="38"/>
      <x:c r="J686" s="38"/>
      <x:c r="K686" s="38"/>
      <x:c r="L686" s="38"/>
      <x:c r="M686" s="38"/>
      <x:c r="N686" s="38"/>
      <x:c r="O686" s="38"/>
      <x:c r="P686" s="38"/>
      <x:c r="Q686" s="38"/>
      <x:c r="R686" s="38"/>
      <x:c r="S686" s="38"/>
      <x:c r="T686" s="38"/>
      <x:c r="U686" s="38"/>
      <x:c r="V686" s="38"/>
      <x:c r="W686" s="38"/>
      <x:c r="X686" s="38"/>
      <x:c r="Y686" s="38"/>
      <x:c r="Z686" s="38"/>
    </x:row>
    <x:row r="687">
      <x:c r="A687" s="38"/>
      <x:c r="B687" s="38"/>
      <x:c r="C687" s="38"/>
      <x:c r="D687" s="38"/>
      <x:c r="E687" s="38"/>
      <x:c r="F687" s="38"/>
      <x:c r="G687" s="38"/>
      <x:c r="H687" s="38"/>
      <x:c r="I687" s="38"/>
      <x:c r="J687" s="38"/>
      <x:c r="K687" s="38"/>
      <x:c r="L687" s="38"/>
      <x:c r="M687" s="38"/>
      <x:c r="N687" s="38"/>
      <x:c r="O687" s="38"/>
      <x:c r="P687" s="38"/>
      <x:c r="Q687" s="38"/>
      <x:c r="R687" s="38"/>
      <x:c r="S687" s="38"/>
      <x:c r="T687" s="38"/>
      <x:c r="U687" s="38"/>
      <x:c r="V687" s="38"/>
      <x:c r="W687" s="38"/>
      <x:c r="X687" s="38"/>
      <x:c r="Y687" s="38"/>
      <x:c r="Z687" s="38"/>
    </x:row>
    <x:row r="688">
      <x:c r="A688" s="38"/>
      <x:c r="B688" s="38"/>
      <x:c r="C688" s="38"/>
      <x:c r="D688" s="38"/>
      <x:c r="E688" s="38"/>
      <x:c r="F688" s="38"/>
      <x:c r="G688" s="38"/>
      <x:c r="H688" s="38"/>
      <x:c r="I688" s="38"/>
      <x:c r="J688" s="38"/>
      <x:c r="K688" s="38"/>
      <x:c r="L688" s="38"/>
      <x:c r="M688" s="38"/>
      <x:c r="N688" s="38"/>
      <x:c r="O688" s="38"/>
      <x:c r="P688" s="38"/>
      <x:c r="Q688" s="38"/>
      <x:c r="R688" s="38"/>
      <x:c r="S688" s="38"/>
      <x:c r="T688" s="38"/>
      <x:c r="U688" s="38"/>
      <x:c r="V688" s="38"/>
      <x:c r="W688" s="38"/>
      <x:c r="X688" s="38"/>
      <x:c r="Y688" s="38"/>
      <x:c r="Z688" s="38"/>
    </x:row>
    <x:row r="689">
      <x:c r="A689" s="38"/>
      <x:c r="B689" s="38"/>
      <x:c r="C689" s="38"/>
      <x:c r="D689" s="38"/>
      <x:c r="E689" s="38"/>
      <x:c r="F689" s="38"/>
      <x:c r="G689" s="38"/>
      <x:c r="H689" s="38"/>
      <x:c r="I689" s="38"/>
      <x:c r="J689" s="38"/>
      <x:c r="K689" s="38"/>
      <x:c r="L689" s="38"/>
      <x:c r="M689" s="38"/>
      <x:c r="N689" s="38"/>
      <x:c r="O689" s="38"/>
      <x:c r="P689" s="38"/>
      <x:c r="Q689" s="38"/>
      <x:c r="R689" s="38"/>
      <x:c r="S689" s="38"/>
      <x:c r="T689" s="38"/>
      <x:c r="U689" s="38"/>
      <x:c r="V689" s="38"/>
      <x:c r="W689" s="38"/>
      <x:c r="X689" s="38"/>
      <x:c r="Y689" s="38"/>
      <x:c r="Z689" s="38"/>
    </x:row>
    <x:row r="690">
      <x:c r="A690" s="38"/>
      <x:c r="B690" s="38"/>
      <x:c r="C690" s="38"/>
      <x:c r="D690" s="38"/>
      <x:c r="E690" s="38"/>
      <x:c r="F690" s="38"/>
      <x:c r="G690" s="38"/>
      <x:c r="H690" s="38"/>
      <x:c r="I690" s="38"/>
      <x:c r="J690" s="38"/>
      <x:c r="K690" s="38"/>
      <x:c r="L690" s="38"/>
      <x:c r="M690" s="38"/>
      <x:c r="N690" s="38"/>
      <x:c r="O690" s="38"/>
      <x:c r="P690" s="38"/>
      <x:c r="Q690" s="38"/>
      <x:c r="R690" s="38"/>
      <x:c r="S690" s="38"/>
      <x:c r="T690" s="38"/>
      <x:c r="U690" s="38"/>
      <x:c r="V690" s="38"/>
      <x:c r="W690" s="38"/>
      <x:c r="X690" s="38"/>
      <x:c r="Y690" s="38"/>
      <x:c r="Z690" s="38"/>
    </x:row>
    <x:row r="691">
      <x:c r="A691" s="38"/>
      <x:c r="B691" s="38"/>
      <x:c r="C691" s="38"/>
      <x:c r="D691" s="38"/>
      <x:c r="E691" s="38"/>
      <x:c r="F691" s="38"/>
      <x:c r="G691" s="38"/>
      <x:c r="H691" s="38"/>
      <x:c r="I691" s="38"/>
      <x:c r="J691" s="38"/>
      <x:c r="K691" s="38"/>
      <x:c r="L691" s="38"/>
      <x:c r="M691" s="38"/>
      <x:c r="N691" s="38"/>
      <x:c r="O691" s="38"/>
      <x:c r="P691" s="38"/>
      <x:c r="Q691" s="38"/>
      <x:c r="R691" s="38"/>
      <x:c r="S691" s="38"/>
      <x:c r="T691" s="38"/>
      <x:c r="U691" s="38"/>
      <x:c r="V691" s="38"/>
      <x:c r="W691" s="38"/>
      <x:c r="X691" s="38"/>
      <x:c r="Y691" s="38"/>
      <x:c r="Z691" s="38"/>
    </x:row>
    <x:row r="692">
      <x:c r="A692" s="38"/>
      <x:c r="B692" s="38"/>
      <x:c r="C692" s="38"/>
      <x:c r="D692" s="38"/>
      <x:c r="E692" s="38"/>
      <x:c r="F692" s="38"/>
      <x:c r="G692" s="38"/>
      <x:c r="H692" s="38"/>
      <x:c r="I692" s="38"/>
      <x:c r="J692" s="38"/>
      <x:c r="K692" s="38"/>
      <x:c r="L692" s="38"/>
      <x:c r="M692" s="38"/>
      <x:c r="N692" s="38"/>
      <x:c r="O692" s="38"/>
      <x:c r="P692" s="38"/>
      <x:c r="Q692" s="38"/>
      <x:c r="R692" s="38"/>
      <x:c r="S692" s="38"/>
      <x:c r="T692" s="38"/>
      <x:c r="U692" s="38"/>
      <x:c r="V692" s="38"/>
      <x:c r="W692" s="38"/>
      <x:c r="X692" s="38"/>
      <x:c r="Y692" s="38"/>
      <x:c r="Z692" s="38"/>
    </x:row>
    <x:row r="693">
      <x:c r="A693" s="38"/>
      <x:c r="B693" s="38"/>
      <x:c r="C693" s="38"/>
      <x:c r="D693" s="38"/>
      <x:c r="E693" s="38"/>
      <x:c r="F693" s="38"/>
      <x:c r="G693" s="38"/>
      <x:c r="H693" s="38"/>
      <x:c r="I693" s="38"/>
      <x:c r="J693" s="38"/>
      <x:c r="K693" s="38"/>
      <x:c r="L693" s="38"/>
      <x:c r="M693" s="38"/>
      <x:c r="N693" s="38"/>
      <x:c r="O693" s="38"/>
      <x:c r="P693" s="38"/>
      <x:c r="Q693" s="38"/>
      <x:c r="R693" s="38"/>
      <x:c r="S693" s="38"/>
      <x:c r="T693" s="38"/>
      <x:c r="U693" s="38"/>
      <x:c r="V693" s="38"/>
      <x:c r="W693" s="38"/>
      <x:c r="X693" s="38"/>
      <x:c r="Y693" s="38"/>
      <x:c r="Z693" s="38"/>
    </x:row>
    <x:row r="694">
      <x:c r="A694" s="38"/>
      <x:c r="B694" s="38"/>
      <x:c r="C694" s="38"/>
      <x:c r="D694" s="38"/>
      <x:c r="E694" s="38"/>
      <x:c r="F694" s="38"/>
      <x:c r="G694" s="38"/>
      <x:c r="H694" s="38"/>
      <x:c r="I694" s="38"/>
      <x:c r="J694" s="38"/>
      <x:c r="K694" s="38"/>
      <x:c r="L694" s="38"/>
      <x:c r="M694" s="38"/>
      <x:c r="N694" s="38"/>
      <x:c r="O694" s="38"/>
      <x:c r="P694" s="38"/>
      <x:c r="Q694" s="38"/>
      <x:c r="R694" s="38"/>
      <x:c r="S694" s="38"/>
      <x:c r="T694" s="38"/>
      <x:c r="U694" s="38"/>
      <x:c r="V694" s="38"/>
      <x:c r="W694" s="38"/>
      <x:c r="X694" s="38"/>
      <x:c r="Y694" s="38"/>
      <x:c r="Z694" s="38"/>
    </x:row>
    <x:row r="695">
      <x:c r="A695" s="38"/>
      <x:c r="B695" s="38"/>
      <x:c r="C695" s="38"/>
      <x:c r="D695" s="38"/>
      <x:c r="E695" s="38"/>
      <x:c r="F695" s="38"/>
      <x:c r="G695" s="38"/>
      <x:c r="H695" s="38"/>
      <x:c r="I695" s="38"/>
      <x:c r="J695" s="38"/>
      <x:c r="K695" s="38"/>
      <x:c r="L695" s="38"/>
      <x:c r="M695" s="38"/>
      <x:c r="N695" s="38"/>
      <x:c r="O695" s="38"/>
      <x:c r="P695" s="38"/>
      <x:c r="Q695" s="38"/>
      <x:c r="R695" s="38"/>
      <x:c r="S695" s="38"/>
      <x:c r="T695" s="38"/>
      <x:c r="U695" s="38"/>
      <x:c r="V695" s="38"/>
      <x:c r="W695" s="38"/>
      <x:c r="X695" s="38"/>
      <x:c r="Y695" s="38"/>
      <x:c r="Z695" s="38"/>
    </x:row>
    <x:row r="696">
      <x:c r="A696" s="38"/>
      <x:c r="B696" s="38"/>
      <x:c r="C696" s="38"/>
      <x:c r="D696" s="38"/>
      <x:c r="E696" s="38"/>
      <x:c r="F696" s="38"/>
      <x:c r="G696" s="38"/>
      <x:c r="H696" s="38"/>
      <x:c r="I696" s="38"/>
      <x:c r="J696" s="38"/>
      <x:c r="K696" s="38"/>
      <x:c r="L696" s="38"/>
      <x:c r="M696" s="38"/>
      <x:c r="N696" s="38"/>
      <x:c r="O696" s="38"/>
      <x:c r="P696" s="38"/>
      <x:c r="Q696" s="38"/>
      <x:c r="R696" s="38"/>
      <x:c r="S696" s="38"/>
      <x:c r="T696" s="38"/>
      <x:c r="U696" s="38"/>
      <x:c r="V696" s="38"/>
      <x:c r="W696" s="38"/>
      <x:c r="X696" s="38"/>
      <x:c r="Y696" s="38"/>
      <x:c r="Z696" s="38"/>
    </x:row>
    <x:row r="697">
      <x:c r="A697" s="38"/>
      <x:c r="B697" s="38"/>
      <x:c r="C697" s="38"/>
      <x:c r="D697" s="38"/>
      <x:c r="E697" s="38"/>
      <x:c r="F697" s="38"/>
      <x:c r="G697" s="38"/>
      <x:c r="H697" s="38"/>
      <x:c r="I697" s="38"/>
      <x:c r="J697" s="38"/>
      <x:c r="K697" s="38"/>
      <x:c r="L697" s="38"/>
      <x:c r="M697" s="38"/>
      <x:c r="N697" s="38"/>
      <x:c r="O697" s="38"/>
      <x:c r="P697" s="38"/>
      <x:c r="Q697" s="38"/>
      <x:c r="R697" s="38"/>
      <x:c r="S697" s="38"/>
      <x:c r="T697" s="38"/>
      <x:c r="U697" s="38"/>
      <x:c r="V697" s="38"/>
      <x:c r="W697" s="38"/>
      <x:c r="X697" s="38"/>
      <x:c r="Y697" s="38"/>
      <x:c r="Z697" s="38"/>
    </x:row>
    <x:row r="698">
      <x:c r="A698" s="38"/>
      <x:c r="B698" s="38"/>
      <x:c r="C698" s="38"/>
      <x:c r="D698" s="38"/>
      <x:c r="E698" s="38"/>
      <x:c r="F698" s="38"/>
      <x:c r="G698" s="38"/>
      <x:c r="H698" s="38"/>
      <x:c r="I698" s="38"/>
      <x:c r="J698" s="38"/>
      <x:c r="K698" s="38"/>
      <x:c r="L698" s="38"/>
      <x:c r="M698" s="38"/>
      <x:c r="N698" s="38"/>
      <x:c r="O698" s="38"/>
      <x:c r="P698" s="38"/>
      <x:c r="Q698" s="38"/>
      <x:c r="R698" s="38"/>
      <x:c r="S698" s="38"/>
      <x:c r="T698" s="38"/>
      <x:c r="U698" s="38"/>
      <x:c r="V698" s="38"/>
      <x:c r="W698" s="38"/>
      <x:c r="X698" s="38"/>
      <x:c r="Y698" s="38"/>
      <x:c r="Z698" s="38"/>
    </x:row>
    <x:row r="699">
      <x:c r="A699" s="38"/>
      <x:c r="B699" s="38"/>
      <x:c r="C699" s="38"/>
      <x:c r="D699" s="38"/>
      <x:c r="E699" s="38"/>
      <x:c r="F699" s="38"/>
      <x:c r="G699" s="38"/>
      <x:c r="H699" s="38"/>
      <x:c r="I699" s="38"/>
      <x:c r="J699" s="38"/>
      <x:c r="K699" s="38"/>
      <x:c r="L699" s="38"/>
      <x:c r="M699" s="38"/>
      <x:c r="N699" s="38"/>
      <x:c r="O699" s="38"/>
      <x:c r="P699" s="38"/>
      <x:c r="Q699" s="38"/>
      <x:c r="R699" s="38"/>
      <x:c r="S699" s="38"/>
      <x:c r="T699" s="38"/>
      <x:c r="U699" s="38"/>
      <x:c r="V699" s="38"/>
      <x:c r="W699" s="38"/>
      <x:c r="X699" s="38"/>
      <x:c r="Y699" s="38"/>
      <x:c r="Z699" s="38"/>
    </x:row>
    <x:row r="700">
      <x:c r="A700" s="38"/>
      <x:c r="B700" s="38"/>
      <x:c r="C700" s="38"/>
      <x:c r="D700" s="38"/>
      <x:c r="E700" s="38"/>
      <x:c r="F700" s="38"/>
      <x:c r="G700" s="38"/>
      <x:c r="H700" s="38"/>
      <x:c r="I700" s="38"/>
      <x:c r="J700" s="38"/>
      <x:c r="K700" s="38"/>
      <x:c r="L700" s="38"/>
      <x:c r="M700" s="38"/>
      <x:c r="N700" s="38"/>
      <x:c r="O700" s="38"/>
      <x:c r="P700" s="38"/>
      <x:c r="Q700" s="38"/>
      <x:c r="R700" s="38"/>
      <x:c r="S700" s="38"/>
      <x:c r="T700" s="38"/>
      <x:c r="U700" s="38"/>
      <x:c r="V700" s="38"/>
      <x:c r="W700" s="38"/>
      <x:c r="X700" s="38"/>
      <x:c r="Y700" s="38"/>
      <x:c r="Z700" s="38"/>
    </x:row>
    <x:row r="701">
      <x:c r="A701" s="38"/>
      <x:c r="B701" s="38"/>
      <x:c r="C701" s="38"/>
      <x:c r="D701" s="38"/>
      <x:c r="E701" s="38"/>
      <x:c r="F701" s="38"/>
      <x:c r="G701" s="38"/>
      <x:c r="H701" s="38"/>
      <x:c r="I701" s="38"/>
      <x:c r="J701" s="38"/>
      <x:c r="K701" s="38"/>
      <x:c r="L701" s="38"/>
      <x:c r="M701" s="38"/>
      <x:c r="N701" s="38"/>
      <x:c r="O701" s="38"/>
      <x:c r="P701" s="38"/>
      <x:c r="Q701" s="38"/>
      <x:c r="R701" s="38"/>
      <x:c r="S701" s="38"/>
      <x:c r="T701" s="38"/>
      <x:c r="U701" s="38"/>
      <x:c r="V701" s="38"/>
      <x:c r="W701" s="38"/>
      <x:c r="X701" s="38"/>
      <x:c r="Y701" s="38"/>
      <x:c r="Z701" s="38"/>
    </x:row>
    <x:row r="702">
      <x:c r="A702" s="38"/>
      <x:c r="B702" s="38"/>
      <x:c r="C702" s="38"/>
      <x:c r="D702" s="38"/>
      <x:c r="E702" s="38"/>
      <x:c r="F702" s="38"/>
      <x:c r="G702" s="38"/>
      <x:c r="H702" s="38"/>
      <x:c r="I702" s="38"/>
      <x:c r="J702" s="38"/>
      <x:c r="K702" s="38"/>
      <x:c r="L702" s="38"/>
      <x:c r="M702" s="38"/>
      <x:c r="N702" s="38"/>
      <x:c r="O702" s="38"/>
      <x:c r="P702" s="38"/>
      <x:c r="Q702" s="38"/>
      <x:c r="R702" s="38"/>
      <x:c r="S702" s="38"/>
      <x:c r="T702" s="38"/>
      <x:c r="U702" s="38"/>
      <x:c r="V702" s="38"/>
      <x:c r="W702" s="38"/>
      <x:c r="X702" s="38"/>
      <x:c r="Y702" s="38"/>
      <x:c r="Z702" s="38"/>
    </x:row>
    <x:row r="703">
      <x:c r="A703" s="38"/>
      <x:c r="B703" s="38"/>
      <x:c r="C703" s="38"/>
      <x:c r="D703" s="38"/>
      <x:c r="E703" s="38"/>
      <x:c r="F703" s="38"/>
      <x:c r="G703" s="38"/>
      <x:c r="H703" s="38"/>
      <x:c r="I703" s="38"/>
      <x:c r="J703" s="38"/>
      <x:c r="K703" s="38"/>
      <x:c r="L703" s="38"/>
      <x:c r="M703" s="38"/>
      <x:c r="N703" s="38"/>
      <x:c r="O703" s="38"/>
      <x:c r="P703" s="38"/>
      <x:c r="Q703" s="38"/>
      <x:c r="R703" s="38"/>
      <x:c r="S703" s="38"/>
      <x:c r="T703" s="38"/>
      <x:c r="U703" s="38"/>
      <x:c r="V703" s="38"/>
      <x:c r="W703" s="38"/>
      <x:c r="X703" s="38"/>
      <x:c r="Y703" s="38"/>
      <x:c r="Z703" s="38"/>
    </x:row>
    <x:row r="704">
      <x:c r="A704" s="38"/>
      <x:c r="B704" s="38"/>
      <x:c r="C704" s="38"/>
      <x:c r="D704" s="38"/>
      <x:c r="E704" s="38"/>
      <x:c r="F704" s="38"/>
      <x:c r="G704" s="38"/>
      <x:c r="H704" s="38"/>
      <x:c r="I704" s="38"/>
      <x:c r="J704" s="38"/>
      <x:c r="K704" s="38"/>
      <x:c r="L704" s="38"/>
      <x:c r="M704" s="38"/>
      <x:c r="N704" s="38"/>
      <x:c r="O704" s="38"/>
      <x:c r="P704" s="38"/>
      <x:c r="Q704" s="38"/>
      <x:c r="R704" s="38"/>
      <x:c r="S704" s="38"/>
      <x:c r="T704" s="38"/>
      <x:c r="U704" s="38"/>
      <x:c r="V704" s="38"/>
      <x:c r="W704" s="38"/>
      <x:c r="X704" s="38"/>
      <x:c r="Y704" s="38"/>
      <x:c r="Z704" s="38"/>
    </x:row>
    <x:row r="705">
      <x:c r="A705" s="38"/>
      <x:c r="B705" s="38"/>
      <x:c r="C705" s="38"/>
      <x:c r="D705" s="38"/>
      <x:c r="E705" s="38"/>
      <x:c r="F705" s="38"/>
      <x:c r="G705" s="38"/>
      <x:c r="H705" s="38"/>
      <x:c r="I705" s="38"/>
      <x:c r="J705" s="38"/>
      <x:c r="K705" s="38"/>
      <x:c r="L705" s="38"/>
      <x:c r="M705" s="38"/>
      <x:c r="N705" s="38"/>
      <x:c r="O705" s="38"/>
      <x:c r="P705" s="38"/>
      <x:c r="Q705" s="38"/>
      <x:c r="R705" s="38"/>
      <x:c r="S705" s="38"/>
      <x:c r="T705" s="38"/>
      <x:c r="U705" s="38"/>
      <x:c r="V705" s="38"/>
      <x:c r="W705" s="38"/>
      <x:c r="X705" s="38"/>
      <x:c r="Y705" s="38"/>
      <x:c r="Z705" s="38"/>
    </x:row>
    <x:row r="706">
      <x:c r="A706" s="38"/>
      <x:c r="B706" s="38"/>
      <x:c r="C706" s="38"/>
      <x:c r="D706" s="38"/>
      <x:c r="E706" s="38"/>
      <x:c r="F706" s="38"/>
      <x:c r="G706" s="38"/>
      <x:c r="H706" s="38"/>
      <x:c r="I706" s="38"/>
      <x:c r="J706" s="38"/>
      <x:c r="K706" s="38"/>
      <x:c r="L706" s="38"/>
      <x:c r="M706" s="38"/>
      <x:c r="N706" s="38"/>
      <x:c r="O706" s="38"/>
      <x:c r="P706" s="38"/>
      <x:c r="Q706" s="38"/>
      <x:c r="R706" s="38"/>
      <x:c r="S706" s="38"/>
      <x:c r="T706" s="38"/>
      <x:c r="U706" s="38"/>
      <x:c r="V706" s="38"/>
      <x:c r="W706" s="38"/>
      <x:c r="X706" s="38"/>
      <x:c r="Y706" s="38"/>
      <x:c r="Z706" s="38"/>
    </x:row>
    <x:row r="707">
      <x:c r="A707" s="38"/>
      <x:c r="B707" s="38"/>
      <x:c r="C707" s="38"/>
      <x:c r="D707" s="38"/>
      <x:c r="E707" s="38"/>
      <x:c r="F707" s="38"/>
      <x:c r="G707" s="38"/>
      <x:c r="H707" s="38"/>
      <x:c r="I707" s="38"/>
      <x:c r="J707" s="38"/>
      <x:c r="K707" s="38"/>
      <x:c r="L707" s="38"/>
      <x:c r="M707" s="38"/>
      <x:c r="N707" s="38"/>
      <x:c r="O707" s="38"/>
      <x:c r="P707" s="38"/>
      <x:c r="Q707" s="38"/>
      <x:c r="R707" s="38"/>
      <x:c r="S707" s="38"/>
      <x:c r="T707" s="38"/>
      <x:c r="U707" s="38"/>
      <x:c r="V707" s="38"/>
      <x:c r="W707" s="38"/>
      <x:c r="X707" s="38"/>
      <x:c r="Y707" s="38"/>
      <x:c r="Z707" s="38"/>
    </x:row>
    <x:row r="708">
      <x:c r="A708" s="38"/>
      <x:c r="B708" s="38"/>
      <x:c r="C708" s="38"/>
      <x:c r="D708" s="38"/>
      <x:c r="E708" s="38"/>
      <x:c r="F708" s="38"/>
      <x:c r="G708" s="38"/>
      <x:c r="H708" s="38"/>
      <x:c r="I708" s="38"/>
      <x:c r="J708" s="38"/>
      <x:c r="K708" s="38"/>
      <x:c r="L708" s="38"/>
      <x:c r="M708" s="38"/>
      <x:c r="N708" s="38"/>
      <x:c r="O708" s="38"/>
      <x:c r="P708" s="38"/>
      <x:c r="Q708" s="38"/>
      <x:c r="R708" s="38"/>
      <x:c r="S708" s="38"/>
      <x:c r="T708" s="38"/>
      <x:c r="U708" s="38"/>
      <x:c r="V708" s="38"/>
      <x:c r="W708" s="38"/>
      <x:c r="X708" s="38"/>
      <x:c r="Y708" s="38"/>
      <x:c r="Z708" s="38"/>
    </x:row>
    <x:row r="709">
      <x:c r="A709" s="38"/>
      <x:c r="B709" s="38"/>
      <x:c r="C709" s="38"/>
      <x:c r="D709" s="38"/>
      <x:c r="E709" s="38"/>
      <x:c r="F709" s="38"/>
      <x:c r="G709" s="38"/>
      <x:c r="H709" s="38"/>
      <x:c r="I709" s="38"/>
      <x:c r="J709" s="38"/>
      <x:c r="K709" s="38"/>
      <x:c r="L709" s="38"/>
      <x:c r="M709" s="38"/>
      <x:c r="N709" s="38"/>
      <x:c r="O709" s="38"/>
      <x:c r="P709" s="38"/>
      <x:c r="Q709" s="38"/>
      <x:c r="R709" s="38"/>
      <x:c r="S709" s="38"/>
      <x:c r="T709" s="38"/>
      <x:c r="U709" s="38"/>
      <x:c r="V709" s="38"/>
      <x:c r="W709" s="38"/>
      <x:c r="X709" s="38"/>
      <x:c r="Y709" s="38"/>
      <x:c r="Z709" s="38"/>
    </x:row>
    <x:row r="710">
      <x:c r="A710" s="38"/>
      <x:c r="B710" s="38"/>
      <x:c r="C710" s="38"/>
      <x:c r="D710" s="38"/>
      <x:c r="E710" s="38"/>
      <x:c r="F710" s="38"/>
      <x:c r="G710" s="38"/>
      <x:c r="H710" s="38"/>
      <x:c r="I710" s="38"/>
      <x:c r="J710" s="38"/>
      <x:c r="K710" s="38"/>
      <x:c r="L710" s="38"/>
      <x:c r="M710" s="38"/>
      <x:c r="N710" s="38"/>
      <x:c r="O710" s="38"/>
      <x:c r="P710" s="38"/>
      <x:c r="Q710" s="38"/>
      <x:c r="R710" s="38"/>
      <x:c r="S710" s="38"/>
      <x:c r="T710" s="38"/>
      <x:c r="U710" s="38"/>
      <x:c r="V710" s="38"/>
      <x:c r="W710" s="38"/>
      <x:c r="X710" s="38"/>
      <x:c r="Y710" s="38"/>
      <x:c r="Z710" s="38"/>
    </x:row>
    <x:row r="711">
      <x:c r="A711" s="38"/>
      <x:c r="B711" s="38"/>
      <x:c r="C711" s="38"/>
      <x:c r="D711" s="38"/>
      <x:c r="E711" s="38"/>
      <x:c r="F711" s="38"/>
      <x:c r="G711" s="38"/>
      <x:c r="H711" s="38"/>
      <x:c r="I711" s="38"/>
      <x:c r="J711" s="38"/>
      <x:c r="K711" s="38"/>
      <x:c r="L711" s="38"/>
      <x:c r="M711" s="38"/>
      <x:c r="N711" s="38"/>
      <x:c r="O711" s="38"/>
      <x:c r="P711" s="38"/>
      <x:c r="Q711" s="38"/>
      <x:c r="R711" s="38"/>
      <x:c r="S711" s="38"/>
      <x:c r="T711" s="38"/>
      <x:c r="U711" s="38"/>
      <x:c r="V711" s="38"/>
      <x:c r="W711" s="38"/>
      <x:c r="X711" s="38"/>
      <x:c r="Y711" s="38"/>
      <x:c r="Z711" s="38"/>
    </x:row>
    <x:row r="712">
      <x:c r="A712" s="38"/>
      <x:c r="B712" s="38"/>
      <x:c r="C712" s="38"/>
      <x:c r="D712" s="38"/>
      <x:c r="E712" s="38"/>
      <x:c r="F712" s="38"/>
      <x:c r="G712" s="38"/>
      <x:c r="H712" s="38"/>
      <x:c r="I712" s="38"/>
      <x:c r="J712" s="38"/>
      <x:c r="K712" s="38"/>
      <x:c r="L712" s="38"/>
      <x:c r="M712" s="38"/>
      <x:c r="N712" s="38"/>
      <x:c r="O712" s="38"/>
      <x:c r="P712" s="38"/>
      <x:c r="Q712" s="38"/>
      <x:c r="R712" s="38"/>
      <x:c r="S712" s="38"/>
      <x:c r="T712" s="38"/>
      <x:c r="U712" s="38"/>
      <x:c r="V712" s="38"/>
      <x:c r="W712" s="38"/>
      <x:c r="X712" s="38"/>
      <x:c r="Y712" s="38"/>
      <x:c r="Z712" s="38"/>
    </x:row>
    <x:row r="713">
      <x:c r="A713" s="38"/>
      <x:c r="B713" s="38"/>
      <x:c r="C713" s="38"/>
      <x:c r="D713" s="38"/>
      <x:c r="E713" s="38"/>
      <x:c r="F713" s="38"/>
      <x:c r="G713" s="38"/>
      <x:c r="H713" s="38"/>
      <x:c r="I713" s="38"/>
      <x:c r="J713" s="38"/>
      <x:c r="K713" s="38"/>
      <x:c r="L713" s="38"/>
      <x:c r="M713" s="38"/>
      <x:c r="N713" s="38"/>
      <x:c r="O713" s="38"/>
      <x:c r="P713" s="38"/>
      <x:c r="Q713" s="38"/>
      <x:c r="R713" s="38"/>
      <x:c r="S713" s="38"/>
      <x:c r="T713" s="38"/>
      <x:c r="U713" s="38"/>
      <x:c r="V713" s="38"/>
      <x:c r="W713" s="38"/>
      <x:c r="X713" s="38"/>
      <x:c r="Y713" s="38"/>
      <x:c r="Z713" s="38"/>
    </x:row>
    <x:row r="714">
      <x:c r="A714" s="38"/>
      <x:c r="B714" s="38"/>
      <x:c r="C714" s="38"/>
      <x:c r="D714" s="38"/>
      <x:c r="E714" s="38"/>
      <x:c r="F714" s="38"/>
      <x:c r="G714" s="38"/>
      <x:c r="H714" s="38"/>
      <x:c r="I714" s="38"/>
      <x:c r="J714" s="38"/>
      <x:c r="K714" s="38"/>
      <x:c r="L714" s="38"/>
      <x:c r="M714" s="38"/>
      <x:c r="N714" s="38"/>
      <x:c r="O714" s="38"/>
      <x:c r="P714" s="38"/>
      <x:c r="Q714" s="38"/>
      <x:c r="R714" s="38"/>
      <x:c r="S714" s="38"/>
      <x:c r="T714" s="38"/>
      <x:c r="U714" s="38"/>
      <x:c r="V714" s="38"/>
      <x:c r="W714" s="38"/>
      <x:c r="X714" s="38"/>
      <x:c r="Y714" s="38"/>
      <x:c r="Z714" s="38"/>
    </x:row>
    <x:row r="715">
      <x:c r="A715" s="38"/>
      <x:c r="B715" s="38"/>
      <x:c r="C715" s="38"/>
      <x:c r="D715" s="38"/>
      <x:c r="E715" s="38"/>
      <x:c r="F715" s="38"/>
      <x:c r="G715" s="38"/>
      <x:c r="H715" s="38"/>
      <x:c r="I715" s="38"/>
      <x:c r="J715" s="38"/>
      <x:c r="K715" s="38"/>
      <x:c r="L715" s="38"/>
      <x:c r="M715" s="38"/>
      <x:c r="N715" s="38"/>
      <x:c r="O715" s="38"/>
      <x:c r="P715" s="38"/>
      <x:c r="Q715" s="38"/>
      <x:c r="R715" s="38"/>
      <x:c r="S715" s="38"/>
      <x:c r="T715" s="38"/>
      <x:c r="U715" s="38"/>
      <x:c r="V715" s="38"/>
      <x:c r="W715" s="38"/>
      <x:c r="X715" s="38"/>
      <x:c r="Y715" s="38"/>
      <x:c r="Z715" s="38"/>
    </x:row>
    <x:row r="716">
      <x:c r="A716" s="38"/>
      <x:c r="B716" s="38"/>
      <x:c r="C716" s="38"/>
      <x:c r="D716" s="38"/>
      <x:c r="E716" s="38"/>
      <x:c r="F716" s="38"/>
      <x:c r="G716" s="38"/>
      <x:c r="H716" s="38"/>
      <x:c r="I716" s="38"/>
      <x:c r="J716" s="38"/>
      <x:c r="K716" s="38"/>
      <x:c r="L716" s="38"/>
      <x:c r="M716" s="38"/>
      <x:c r="N716" s="38"/>
      <x:c r="O716" s="38"/>
      <x:c r="P716" s="38"/>
      <x:c r="Q716" s="38"/>
      <x:c r="R716" s="38"/>
      <x:c r="S716" s="38"/>
      <x:c r="T716" s="38"/>
      <x:c r="U716" s="38"/>
      <x:c r="V716" s="38"/>
      <x:c r="W716" s="38"/>
      <x:c r="X716" s="38"/>
      <x:c r="Y716" s="38"/>
      <x:c r="Z716" s="38"/>
    </x:row>
    <x:row r="717">
      <x:c r="A717" s="38"/>
      <x:c r="B717" s="38"/>
      <x:c r="C717" s="38"/>
      <x:c r="D717" s="38"/>
      <x:c r="E717" s="38"/>
      <x:c r="F717" s="38"/>
      <x:c r="G717" s="38"/>
      <x:c r="H717" s="38"/>
      <x:c r="I717" s="38"/>
      <x:c r="J717" s="38"/>
      <x:c r="K717" s="38"/>
      <x:c r="L717" s="38"/>
      <x:c r="M717" s="38"/>
      <x:c r="N717" s="38"/>
      <x:c r="O717" s="38"/>
      <x:c r="P717" s="38"/>
      <x:c r="Q717" s="38"/>
      <x:c r="R717" s="38"/>
      <x:c r="S717" s="38"/>
      <x:c r="T717" s="38"/>
      <x:c r="U717" s="38"/>
      <x:c r="V717" s="38"/>
      <x:c r="W717" s="38"/>
      <x:c r="X717" s="38"/>
      <x:c r="Y717" s="38"/>
      <x:c r="Z717" s="38"/>
    </x:row>
    <x:row r="718">
      <x:c r="A718" s="38"/>
      <x:c r="B718" s="38"/>
      <x:c r="C718" s="38"/>
      <x:c r="D718" s="38"/>
      <x:c r="E718" s="38"/>
      <x:c r="F718" s="38"/>
      <x:c r="G718" s="38"/>
      <x:c r="H718" s="38"/>
      <x:c r="I718" s="38"/>
      <x:c r="J718" s="38"/>
      <x:c r="K718" s="38"/>
      <x:c r="L718" s="38"/>
      <x:c r="M718" s="38"/>
      <x:c r="N718" s="38"/>
      <x:c r="O718" s="38"/>
      <x:c r="P718" s="38"/>
      <x:c r="Q718" s="38"/>
      <x:c r="R718" s="38"/>
      <x:c r="S718" s="38"/>
      <x:c r="T718" s="38"/>
      <x:c r="U718" s="38"/>
      <x:c r="V718" s="38"/>
      <x:c r="W718" s="38"/>
      <x:c r="X718" s="38"/>
      <x:c r="Y718" s="38"/>
      <x:c r="Z718" s="38"/>
    </x:row>
    <x:row r="719">
      <x:c r="A719" s="38"/>
      <x:c r="B719" s="38"/>
      <x:c r="C719" s="38"/>
      <x:c r="D719" s="38"/>
      <x:c r="E719" s="38"/>
      <x:c r="F719" s="38"/>
      <x:c r="G719" s="38"/>
      <x:c r="H719" s="38"/>
      <x:c r="I719" s="38"/>
      <x:c r="J719" s="38"/>
      <x:c r="K719" s="38"/>
      <x:c r="L719" s="38"/>
      <x:c r="M719" s="38"/>
      <x:c r="N719" s="38"/>
      <x:c r="O719" s="38"/>
      <x:c r="P719" s="38"/>
      <x:c r="Q719" s="38"/>
      <x:c r="R719" s="38"/>
      <x:c r="S719" s="38"/>
      <x:c r="T719" s="38"/>
      <x:c r="U719" s="38"/>
      <x:c r="V719" s="38"/>
      <x:c r="W719" s="38"/>
      <x:c r="X719" s="38"/>
      <x:c r="Y719" s="38"/>
      <x:c r="Z719" s="38"/>
    </x:row>
    <x:row r="720">
      <x:c r="A720" s="38"/>
      <x:c r="B720" s="38"/>
      <x:c r="C720" s="38"/>
      <x:c r="D720" s="38"/>
      <x:c r="E720" s="38"/>
      <x:c r="F720" s="38"/>
      <x:c r="G720" s="38"/>
      <x:c r="H720" s="38"/>
      <x:c r="I720" s="38"/>
      <x:c r="J720" s="38"/>
      <x:c r="K720" s="38"/>
      <x:c r="L720" s="38"/>
      <x:c r="M720" s="38"/>
      <x:c r="N720" s="38"/>
      <x:c r="O720" s="38"/>
      <x:c r="P720" s="38"/>
      <x:c r="Q720" s="38"/>
      <x:c r="R720" s="38"/>
      <x:c r="S720" s="38"/>
      <x:c r="T720" s="38"/>
      <x:c r="U720" s="38"/>
      <x:c r="V720" s="38"/>
      <x:c r="W720" s="38"/>
      <x:c r="X720" s="38"/>
      <x:c r="Y720" s="38"/>
      <x:c r="Z720" s="38"/>
    </x:row>
    <x:row r="721">
      <x:c r="A721" s="38"/>
      <x:c r="B721" s="38"/>
      <x:c r="C721" s="38"/>
      <x:c r="D721" s="38"/>
      <x:c r="E721" s="38"/>
      <x:c r="F721" s="38"/>
      <x:c r="G721" s="38"/>
      <x:c r="H721" s="38"/>
      <x:c r="I721" s="38"/>
      <x:c r="J721" s="38"/>
      <x:c r="K721" s="38"/>
      <x:c r="L721" s="38"/>
      <x:c r="M721" s="38"/>
      <x:c r="N721" s="38"/>
      <x:c r="O721" s="38"/>
      <x:c r="P721" s="38"/>
      <x:c r="Q721" s="38"/>
      <x:c r="R721" s="38"/>
      <x:c r="S721" s="38"/>
      <x:c r="T721" s="38"/>
      <x:c r="U721" s="38"/>
      <x:c r="V721" s="38"/>
      <x:c r="W721" s="38"/>
      <x:c r="X721" s="38"/>
      <x:c r="Y721" s="38"/>
      <x:c r="Z721" s="38"/>
    </x:row>
    <x:row r="722">
      <x:c r="A722" s="38"/>
      <x:c r="B722" s="38"/>
      <x:c r="C722" s="38"/>
      <x:c r="D722" s="38"/>
      <x:c r="E722" s="38"/>
      <x:c r="F722" s="38"/>
      <x:c r="G722" s="38"/>
      <x:c r="H722" s="38"/>
      <x:c r="I722" s="38"/>
      <x:c r="J722" s="38"/>
      <x:c r="K722" s="38"/>
      <x:c r="L722" s="38"/>
      <x:c r="M722" s="38"/>
      <x:c r="N722" s="38"/>
      <x:c r="O722" s="38"/>
      <x:c r="P722" s="38"/>
      <x:c r="Q722" s="38"/>
      <x:c r="R722" s="38"/>
      <x:c r="S722" s="38"/>
      <x:c r="T722" s="38"/>
      <x:c r="U722" s="38"/>
      <x:c r="V722" s="38"/>
      <x:c r="W722" s="38"/>
      <x:c r="X722" s="38"/>
      <x:c r="Y722" s="38"/>
      <x:c r="Z722" s="38"/>
    </x:row>
    <x:row r="723">
      <x:c r="A723" s="38"/>
      <x:c r="B723" s="38"/>
      <x:c r="C723" s="38"/>
      <x:c r="D723" s="38"/>
      <x:c r="E723" s="38"/>
      <x:c r="F723" s="38"/>
      <x:c r="G723" s="38"/>
      <x:c r="H723" s="38"/>
      <x:c r="I723" s="38"/>
      <x:c r="J723" s="38"/>
      <x:c r="K723" s="38"/>
      <x:c r="L723" s="38"/>
      <x:c r="M723" s="38"/>
      <x:c r="N723" s="38"/>
      <x:c r="O723" s="38"/>
      <x:c r="P723" s="38"/>
      <x:c r="Q723" s="38"/>
      <x:c r="R723" s="38"/>
      <x:c r="S723" s="38"/>
      <x:c r="T723" s="38"/>
      <x:c r="U723" s="38"/>
      <x:c r="V723" s="38"/>
      <x:c r="W723" s="38"/>
      <x:c r="X723" s="38"/>
      <x:c r="Y723" s="38"/>
      <x:c r="Z723" s="38"/>
    </x:row>
    <x:row r="724">
      <x:c r="A724" s="38"/>
      <x:c r="B724" s="38"/>
      <x:c r="C724" s="38"/>
      <x:c r="D724" s="38"/>
      <x:c r="E724" s="38"/>
      <x:c r="F724" s="38"/>
      <x:c r="G724" s="38"/>
      <x:c r="H724" s="38"/>
      <x:c r="I724" s="38"/>
      <x:c r="J724" s="38"/>
      <x:c r="K724" s="38"/>
      <x:c r="L724" s="38"/>
      <x:c r="M724" s="38"/>
      <x:c r="N724" s="38"/>
      <x:c r="O724" s="38"/>
      <x:c r="P724" s="38"/>
      <x:c r="Q724" s="38"/>
      <x:c r="R724" s="38"/>
      <x:c r="S724" s="38"/>
      <x:c r="T724" s="38"/>
      <x:c r="U724" s="38"/>
      <x:c r="V724" s="38"/>
      <x:c r="W724" s="38"/>
      <x:c r="X724" s="38"/>
      <x:c r="Y724" s="38"/>
      <x:c r="Z724" s="38"/>
    </x:row>
    <x:row r="725">
      <x:c r="A725" s="38"/>
      <x:c r="B725" s="38"/>
      <x:c r="C725" s="38"/>
      <x:c r="D725" s="38"/>
      <x:c r="E725" s="38"/>
      <x:c r="F725" s="38"/>
      <x:c r="G725" s="38"/>
      <x:c r="H725" s="38"/>
      <x:c r="I725" s="38"/>
      <x:c r="J725" s="38"/>
      <x:c r="K725" s="38"/>
      <x:c r="L725" s="38"/>
      <x:c r="M725" s="38"/>
      <x:c r="N725" s="38"/>
      <x:c r="O725" s="38"/>
      <x:c r="P725" s="38"/>
      <x:c r="Q725" s="38"/>
      <x:c r="R725" s="38"/>
      <x:c r="S725" s="38"/>
      <x:c r="T725" s="38"/>
      <x:c r="U725" s="38"/>
      <x:c r="V725" s="38"/>
      <x:c r="W725" s="38"/>
      <x:c r="X725" s="38"/>
      <x:c r="Y725" s="38"/>
      <x:c r="Z725" s="38"/>
    </x:row>
    <x:row r="726">
      <x:c r="A726" s="38"/>
      <x:c r="B726" s="38"/>
      <x:c r="C726" s="38"/>
      <x:c r="D726" s="38"/>
      <x:c r="E726" s="38"/>
      <x:c r="F726" s="38"/>
      <x:c r="G726" s="38"/>
      <x:c r="H726" s="38"/>
      <x:c r="I726" s="38"/>
      <x:c r="J726" s="38"/>
      <x:c r="K726" s="38"/>
      <x:c r="L726" s="38"/>
      <x:c r="M726" s="38"/>
      <x:c r="N726" s="38"/>
      <x:c r="O726" s="38"/>
      <x:c r="P726" s="38"/>
      <x:c r="Q726" s="38"/>
      <x:c r="R726" s="38"/>
      <x:c r="S726" s="38"/>
      <x:c r="T726" s="38"/>
      <x:c r="U726" s="38"/>
      <x:c r="V726" s="38"/>
      <x:c r="W726" s="38"/>
      <x:c r="X726" s="38"/>
      <x:c r="Y726" s="38"/>
      <x:c r="Z726" s="38"/>
    </x:row>
    <x:row r="727">
      <x:c r="A727" s="38"/>
      <x:c r="B727" s="38"/>
      <x:c r="C727" s="38"/>
      <x:c r="D727" s="38"/>
      <x:c r="E727" s="38"/>
      <x:c r="F727" s="38"/>
      <x:c r="G727" s="38"/>
      <x:c r="H727" s="38"/>
      <x:c r="I727" s="38"/>
      <x:c r="J727" s="38"/>
      <x:c r="K727" s="38"/>
      <x:c r="L727" s="38"/>
      <x:c r="M727" s="38"/>
      <x:c r="N727" s="38"/>
      <x:c r="O727" s="38"/>
      <x:c r="P727" s="38"/>
      <x:c r="Q727" s="38"/>
      <x:c r="R727" s="38"/>
      <x:c r="S727" s="38"/>
      <x:c r="T727" s="38"/>
      <x:c r="U727" s="38"/>
      <x:c r="V727" s="38"/>
      <x:c r="W727" s="38"/>
      <x:c r="X727" s="38"/>
      <x:c r="Y727" s="38"/>
      <x:c r="Z727" s="38"/>
    </x:row>
    <x:row r="728">
      <x:c r="A728" s="38"/>
      <x:c r="B728" s="38"/>
      <x:c r="C728" s="38"/>
      <x:c r="D728" s="38"/>
      <x:c r="E728" s="38"/>
      <x:c r="F728" s="38"/>
      <x:c r="G728" s="38"/>
      <x:c r="H728" s="38"/>
      <x:c r="I728" s="38"/>
      <x:c r="J728" s="38"/>
      <x:c r="K728" s="38"/>
      <x:c r="L728" s="38"/>
      <x:c r="M728" s="38"/>
      <x:c r="N728" s="38"/>
      <x:c r="O728" s="38"/>
      <x:c r="P728" s="38"/>
      <x:c r="Q728" s="38"/>
      <x:c r="R728" s="38"/>
      <x:c r="S728" s="38"/>
      <x:c r="T728" s="38"/>
      <x:c r="U728" s="38"/>
      <x:c r="V728" s="38"/>
      <x:c r="W728" s="38"/>
      <x:c r="X728" s="38"/>
      <x:c r="Y728" s="38"/>
      <x:c r="Z728" s="38"/>
    </x:row>
    <x:row r="729">
      <x:c r="A729" s="38"/>
      <x:c r="B729" s="38"/>
      <x:c r="C729" s="38"/>
      <x:c r="D729" s="38"/>
      <x:c r="E729" s="38"/>
      <x:c r="F729" s="38"/>
      <x:c r="G729" s="38"/>
      <x:c r="H729" s="38"/>
      <x:c r="I729" s="38"/>
      <x:c r="J729" s="38"/>
      <x:c r="K729" s="38"/>
      <x:c r="L729" s="38"/>
      <x:c r="M729" s="38"/>
      <x:c r="N729" s="38"/>
      <x:c r="O729" s="38"/>
      <x:c r="P729" s="38"/>
      <x:c r="Q729" s="38"/>
      <x:c r="R729" s="38"/>
      <x:c r="S729" s="38"/>
      <x:c r="T729" s="38"/>
      <x:c r="U729" s="38"/>
      <x:c r="V729" s="38"/>
      <x:c r="W729" s="38"/>
      <x:c r="X729" s="38"/>
      <x:c r="Y729" s="38"/>
      <x:c r="Z729" s="38"/>
    </x:row>
    <x:row r="730">
      <x:c r="A730" s="38"/>
      <x:c r="B730" s="38"/>
      <x:c r="C730" s="38"/>
      <x:c r="D730" s="38"/>
      <x:c r="E730" s="38"/>
      <x:c r="F730" s="38"/>
      <x:c r="G730" s="38"/>
      <x:c r="H730" s="38"/>
      <x:c r="I730" s="38"/>
      <x:c r="J730" s="38"/>
      <x:c r="K730" s="38"/>
      <x:c r="L730" s="38"/>
      <x:c r="M730" s="38"/>
      <x:c r="N730" s="38"/>
      <x:c r="O730" s="38"/>
      <x:c r="P730" s="38"/>
      <x:c r="Q730" s="38"/>
      <x:c r="R730" s="38"/>
      <x:c r="S730" s="38"/>
      <x:c r="T730" s="38"/>
      <x:c r="U730" s="38"/>
      <x:c r="V730" s="38"/>
      <x:c r="W730" s="38"/>
      <x:c r="X730" s="38"/>
      <x:c r="Y730" s="38"/>
      <x:c r="Z730" s="38"/>
    </x:row>
    <x:row r="731">
      <x:c r="A731" s="38"/>
      <x:c r="B731" s="38"/>
      <x:c r="C731" s="38"/>
      <x:c r="D731" s="38"/>
      <x:c r="E731" s="38"/>
      <x:c r="F731" s="38"/>
      <x:c r="G731" s="38"/>
      <x:c r="H731" s="38"/>
      <x:c r="I731" s="38"/>
      <x:c r="J731" s="38"/>
      <x:c r="K731" s="38"/>
      <x:c r="L731" s="38"/>
      <x:c r="M731" s="38"/>
      <x:c r="N731" s="38"/>
      <x:c r="O731" s="38"/>
      <x:c r="P731" s="38"/>
      <x:c r="Q731" s="38"/>
      <x:c r="R731" s="38"/>
      <x:c r="S731" s="38"/>
      <x:c r="T731" s="38"/>
      <x:c r="U731" s="38"/>
      <x:c r="V731" s="38"/>
      <x:c r="W731" s="38"/>
      <x:c r="X731" s="38"/>
      <x:c r="Y731" s="38"/>
      <x:c r="Z731" s="38"/>
    </x:row>
    <x:row r="732">
      <x:c r="A732" s="38"/>
      <x:c r="B732" s="38"/>
      <x:c r="C732" s="38"/>
      <x:c r="D732" s="38"/>
      <x:c r="E732" s="38"/>
      <x:c r="F732" s="38"/>
      <x:c r="G732" s="38"/>
      <x:c r="H732" s="38"/>
      <x:c r="I732" s="38"/>
      <x:c r="J732" s="38"/>
      <x:c r="K732" s="38"/>
      <x:c r="L732" s="38"/>
      <x:c r="M732" s="38"/>
      <x:c r="N732" s="38"/>
      <x:c r="O732" s="38"/>
      <x:c r="P732" s="38"/>
      <x:c r="Q732" s="38"/>
      <x:c r="R732" s="38"/>
      <x:c r="S732" s="38"/>
      <x:c r="T732" s="38"/>
      <x:c r="U732" s="38"/>
      <x:c r="V732" s="38"/>
      <x:c r="W732" s="38"/>
      <x:c r="X732" s="38"/>
      <x:c r="Y732" s="38"/>
      <x:c r="Z732" s="38"/>
    </x:row>
    <x:row r="733">
      <x:c r="A733" s="38"/>
      <x:c r="B733" s="38"/>
      <x:c r="C733" s="38"/>
      <x:c r="D733" s="38"/>
      <x:c r="E733" s="38"/>
      <x:c r="F733" s="38"/>
      <x:c r="G733" s="38"/>
      <x:c r="H733" s="38"/>
      <x:c r="I733" s="38"/>
      <x:c r="J733" s="38"/>
      <x:c r="K733" s="38"/>
      <x:c r="L733" s="38"/>
      <x:c r="M733" s="38"/>
      <x:c r="N733" s="38"/>
      <x:c r="O733" s="38"/>
      <x:c r="P733" s="38"/>
      <x:c r="Q733" s="38"/>
      <x:c r="R733" s="38"/>
      <x:c r="S733" s="38"/>
      <x:c r="T733" s="38"/>
      <x:c r="U733" s="38"/>
      <x:c r="V733" s="38"/>
      <x:c r="W733" s="38"/>
      <x:c r="X733" s="38"/>
      <x:c r="Y733" s="38"/>
      <x:c r="Z733" s="38"/>
    </x:row>
    <x:row r="734">
      <x:c r="A734" s="38"/>
      <x:c r="B734" s="38"/>
      <x:c r="C734" s="38"/>
      <x:c r="D734" s="38"/>
      <x:c r="E734" s="38"/>
      <x:c r="F734" s="38"/>
      <x:c r="G734" s="38"/>
      <x:c r="H734" s="38"/>
      <x:c r="I734" s="38"/>
      <x:c r="J734" s="38"/>
      <x:c r="K734" s="38"/>
      <x:c r="L734" s="38"/>
      <x:c r="M734" s="38"/>
      <x:c r="N734" s="38"/>
      <x:c r="O734" s="38"/>
      <x:c r="P734" s="38"/>
      <x:c r="Q734" s="38"/>
      <x:c r="R734" s="38"/>
      <x:c r="S734" s="38"/>
      <x:c r="T734" s="38"/>
      <x:c r="U734" s="38"/>
      <x:c r="V734" s="38"/>
      <x:c r="W734" s="38"/>
      <x:c r="X734" s="38"/>
      <x:c r="Y734" s="38"/>
      <x:c r="Z734" s="38"/>
    </x:row>
    <x:row r="735">
      <x:c r="A735" s="38"/>
      <x:c r="B735" s="38"/>
      <x:c r="C735" s="38"/>
      <x:c r="D735" s="38"/>
      <x:c r="E735" s="38"/>
      <x:c r="F735" s="38"/>
      <x:c r="G735" s="38"/>
      <x:c r="H735" s="38"/>
      <x:c r="I735" s="38"/>
      <x:c r="J735" s="38"/>
      <x:c r="K735" s="38"/>
      <x:c r="L735" s="38"/>
      <x:c r="M735" s="38"/>
      <x:c r="N735" s="38"/>
      <x:c r="O735" s="38"/>
      <x:c r="P735" s="38"/>
      <x:c r="Q735" s="38"/>
      <x:c r="R735" s="38"/>
      <x:c r="S735" s="38"/>
      <x:c r="T735" s="38"/>
      <x:c r="U735" s="38"/>
      <x:c r="V735" s="38"/>
      <x:c r="W735" s="38"/>
      <x:c r="X735" s="38"/>
      <x:c r="Y735" s="38"/>
      <x:c r="Z735" s="38"/>
    </x:row>
    <x:row r="736">
      <x:c r="A736" s="38"/>
      <x:c r="B736" s="38"/>
      <x:c r="C736" s="38"/>
      <x:c r="D736" s="38"/>
      <x:c r="E736" s="38"/>
      <x:c r="F736" s="38"/>
      <x:c r="G736" s="38"/>
      <x:c r="H736" s="38"/>
      <x:c r="I736" s="38"/>
      <x:c r="J736" s="38"/>
      <x:c r="K736" s="38"/>
      <x:c r="L736" s="38"/>
      <x:c r="M736" s="38"/>
      <x:c r="N736" s="38"/>
      <x:c r="O736" s="38"/>
      <x:c r="P736" s="38"/>
      <x:c r="Q736" s="38"/>
      <x:c r="R736" s="38"/>
      <x:c r="S736" s="38"/>
      <x:c r="T736" s="38"/>
      <x:c r="U736" s="38"/>
      <x:c r="V736" s="38"/>
      <x:c r="W736" s="38"/>
      <x:c r="X736" s="38"/>
      <x:c r="Y736" s="38"/>
      <x:c r="Z736" s="38"/>
    </x:row>
    <x:row r="737">
      <x:c r="A737" s="38"/>
      <x:c r="B737" s="38"/>
      <x:c r="C737" s="38"/>
      <x:c r="D737" s="38"/>
      <x:c r="E737" s="38"/>
      <x:c r="F737" s="38"/>
      <x:c r="G737" s="38"/>
      <x:c r="H737" s="38"/>
      <x:c r="I737" s="38"/>
      <x:c r="J737" s="38"/>
      <x:c r="K737" s="38"/>
      <x:c r="L737" s="38"/>
      <x:c r="M737" s="38"/>
      <x:c r="N737" s="38"/>
      <x:c r="O737" s="38"/>
      <x:c r="P737" s="38"/>
      <x:c r="Q737" s="38"/>
      <x:c r="R737" s="38"/>
      <x:c r="S737" s="38"/>
      <x:c r="T737" s="38"/>
      <x:c r="U737" s="38"/>
      <x:c r="V737" s="38"/>
      <x:c r="W737" s="38"/>
      <x:c r="X737" s="38"/>
      <x:c r="Y737" s="38"/>
      <x:c r="Z737" s="38"/>
    </x:row>
    <x:row r="738">
      <x:c r="A738" s="38"/>
      <x:c r="B738" s="38"/>
      <x:c r="C738" s="38"/>
      <x:c r="D738" s="38"/>
      <x:c r="E738" s="38"/>
      <x:c r="F738" s="38"/>
      <x:c r="G738" s="38"/>
      <x:c r="H738" s="38"/>
      <x:c r="I738" s="38"/>
      <x:c r="J738" s="38"/>
      <x:c r="K738" s="38"/>
      <x:c r="L738" s="38"/>
      <x:c r="M738" s="38"/>
      <x:c r="N738" s="38"/>
      <x:c r="O738" s="38"/>
      <x:c r="P738" s="38"/>
      <x:c r="Q738" s="38"/>
      <x:c r="R738" s="38"/>
      <x:c r="S738" s="38"/>
      <x:c r="T738" s="38"/>
      <x:c r="U738" s="38"/>
      <x:c r="V738" s="38"/>
      <x:c r="W738" s="38"/>
      <x:c r="X738" s="38"/>
      <x:c r="Y738" s="38"/>
      <x:c r="Z738" s="38"/>
    </x:row>
    <x:row r="739">
      <x:c r="A739" s="38"/>
      <x:c r="B739" s="38"/>
      <x:c r="C739" s="38"/>
      <x:c r="D739" s="38"/>
      <x:c r="E739" s="38"/>
      <x:c r="F739" s="38"/>
      <x:c r="G739" s="38"/>
      <x:c r="H739" s="38"/>
      <x:c r="I739" s="38"/>
      <x:c r="J739" s="38"/>
      <x:c r="K739" s="38"/>
      <x:c r="L739" s="38"/>
      <x:c r="M739" s="38"/>
      <x:c r="N739" s="38"/>
      <x:c r="O739" s="38"/>
      <x:c r="P739" s="38"/>
      <x:c r="Q739" s="38"/>
      <x:c r="R739" s="38"/>
      <x:c r="S739" s="38"/>
      <x:c r="T739" s="38"/>
      <x:c r="U739" s="38"/>
      <x:c r="V739" s="38"/>
      <x:c r="W739" s="38"/>
      <x:c r="X739" s="38"/>
      <x:c r="Y739" s="38"/>
      <x:c r="Z739" s="38"/>
    </x:row>
    <x:row r="740">
      <x:c r="A740" s="38"/>
      <x:c r="B740" s="38"/>
      <x:c r="C740" s="38"/>
      <x:c r="D740" s="38"/>
      <x:c r="E740" s="38"/>
      <x:c r="F740" s="38"/>
      <x:c r="G740" s="38"/>
      <x:c r="H740" s="38"/>
      <x:c r="I740" s="38"/>
      <x:c r="J740" s="38"/>
      <x:c r="K740" s="38"/>
      <x:c r="L740" s="38"/>
      <x:c r="M740" s="38"/>
      <x:c r="N740" s="38"/>
      <x:c r="O740" s="38"/>
      <x:c r="P740" s="38"/>
      <x:c r="Q740" s="38"/>
      <x:c r="R740" s="38"/>
      <x:c r="S740" s="38"/>
      <x:c r="T740" s="38"/>
      <x:c r="U740" s="38"/>
      <x:c r="V740" s="38"/>
      <x:c r="W740" s="38"/>
      <x:c r="X740" s="38"/>
      <x:c r="Y740" s="38"/>
      <x:c r="Z740" s="38"/>
    </x:row>
    <x:row r="741">
      <x:c r="A741" s="38"/>
      <x:c r="B741" s="38"/>
      <x:c r="C741" s="38"/>
      <x:c r="D741" s="38"/>
      <x:c r="E741" s="38"/>
      <x:c r="F741" s="38"/>
      <x:c r="G741" s="38"/>
      <x:c r="H741" s="38"/>
      <x:c r="I741" s="38"/>
      <x:c r="J741" s="38"/>
      <x:c r="K741" s="38"/>
      <x:c r="L741" s="38"/>
      <x:c r="M741" s="38"/>
      <x:c r="N741" s="38"/>
      <x:c r="O741" s="38"/>
      <x:c r="P741" s="38"/>
      <x:c r="Q741" s="38"/>
      <x:c r="R741" s="38"/>
      <x:c r="S741" s="38"/>
      <x:c r="T741" s="38"/>
      <x:c r="U741" s="38"/>
      <x:c r="V741" s="38"/>
      <x:c r="W741" s="38"/>
      <x:c r="X741" s="38"/>
      <x:c r="Y741" s="38"/>
      <x:c r="Z741" s="38"/>
    </x:row>
    <x:row r="742">
      <x:c r="A742" s="38"/>
      <x:c r="B742" s="38"/>
      <x:c r="C742" s="38"/>
      <x:c r="D742" s="38"/>
      <x:c r="E742" s="38"/>
      <x:c r="F742" s="38"/>
      <x:c r="G742" s="38"/>
      <x:c r="H742" s="38"/>
      <x:c r="I742" s="38"/>
      <x:c r="J742" s="38"/>
      <x:c r="K742" s="38"/>
      <x:c r="L742" s="38"/>
      <x:c r="M742" s="38"/>
      <x:c r="N742" s="38"/>
      <x:c r="O742" s="38"/>
      <x:c r="P742" s="38"/>
      <x:c r="Q742" s="38"/>
      <x:c r="R742" s="38"/>
      <x:c r="S742" s="38"/>
      <x:c r="T742" s="38"/>
      <x:c r="U742" s="38"/>
      <x:c r="V742" s="38"/>
      <x:c r="W742" s="38"/>
      <x:c r="X742" s="38"/>
      <x:c r="Y742" s="38"/>
      <x:c r="Z742" s="38"/>
    </x:row>
    <x:row r="743">
      <x:c r="A743" s="38"/>
      <x:c r="B743" s="38"/>
      <x:c r="C743" s="38"/>
      <x:c r="D743" s="38"/>
      <x:c r="E743" s="38"/>
      <x:c r="F743" s="38"/>
      <x:c r="G743" s="38"/>
      <x:c r="H743" s="38"/>
      <x:c r="I743" s="38"/>
      <x:c r="J743" s="38"/>
      <x:c r="K743" s="38"/>
      <x:c r="L743" s="38"/>
      <x:c r="M743" s="38"/>
      <x:c r="N743" s="38"/>
      <x:c r="O743" s="38"/>
      <x:c r="P743" s="38"/>
      <x:c r="Q743" s="38"/>
      <x:c r="R743" s="38"/>
      <x:c r="S743" s="38"/>
      <x:c r="T743" s="38"/>
      <x:c r="U743" s="38"/>
      <x:c r="V743" s="38"/>
      <x:c r="W743" s="38"/>
      <x:c r="X743" s="38"/>
      <x:c r="Y743" s="38"/>
      <x:c r="Z743" s="38"/>
    </x:row>
    <x:row r="744">
      <x:c r="A744" s="38"/>
      <x:c r="B744" s="38"/>
      <x:c r="C744" s="38"/>
      <x:c r="D744" s="38"/>
      <x:c r="E744" s="38"/>
      <x:c r="F744" s="38"/>
      <x:c r="G744" s="38"/>
      <x:c r="H744" s="38"/>
      <x:c r="I744" s="38"/>
      <x:c r="J744" s="38"/>
      <x:c r="K744" s="38"/>
      <x:c r="L744" s="38"/>
      <x:c r="M744" s="38"/>
      <x:c r="N744" s="38"/>
      <x:c r="O744" s="38"/>
      <x:c r="P744" s="38"/>
      <x:c r="Q744" s="38"/>
      <x:c r="R744" s="38"/>
      <x:c r="S744" s="38"/>
      <x:c r="T744" s="38"/>
      <x:c r="U744" s="38"/>
      <x:c r="V744" s="38"/>
      <x:c r="W744" s="38"/>
      <x:c r="X744" s="38"/>
      <x:c r="Y744" s="38"/>
      <x:c r="Z744" s="38"/>
    </x:row>
    <x:row r="745">
      <x:c r="A745" s="38"/>
      <x:c r="B745" s="38"/>
      <x:c r="C745" s="38"/>
      <x:c r="D745" s="38"/>
      <x:c r="E745" s="38"/>
      <x:c r="F745" s="38"/>
      <x:c r="G745" s="38"/>
      <x:c r="H745" s="38"/>
      <x:c r="I745" s="38"/>
      <x:c r="J745" s="38"/>
      <x:c r="K745" s="38"/>
      <x:c r="L745" s="38"/>
      <x:c r="M745" s="38"/>
      <x:c r="N745" s="38"/>
      <x:c r="O745" s="38"/>
      <x:c r="P745" s="38"/>
      <x:c r="Q745" s="38"/>
      <x:c r="R745" s="38"/>
      <x:c r="S745" s="38"/>
      <x:c r="T745" s="38"/>
      <x:c r="U745" s="38"/>
      <x:c r="V745" s="38"/>
      <x:c r="W745" s="38"/>
      <x:c r="X745" s="38"/>
      <x:c r="Y745" s="38"/>
      <x:c r="Z745" s="38"/>
    </x:row>
    <x:row r="746">
      <x:c r="A746" s="38"/>
      <x:c r="B746" s="38"/>
      <x:c r="C746" s="38"/>
      <x:c r="D746" s="38"/>
      <x:c r="E746" s="38"/>
      <x:c r="F746" s="38"/>
      <x:c r="G746" s="38"/>
      <x:c r="H746" s="38"/>
      <x:c r="I746" s="38"/>
      <x:c r="J746" s="38"/>
      <x:c r="K746" s="38"/>
      <x:c r="L746" s="38"/>
      <x:c r="M746" s="38"/>
      <x:c r="N746" s="38"/>
      <x:c r="O746" s="38"/>
      <x:c r="P746" s="38"/>
      <x:c r="Q746" s="38"/>
      <x:c r="R746" s="38"/>
      <x:c r="S746" s="38"/>
      <x:c r="T746" s="38"/>
      <x:c r="U746" s="38"/>
      <x:c r="V746" s="38"/>
      <x:c r="W746" s="38"/>
      <x:c r="X746" s="38"/>
      <x:c r="Y746" s="38"/>
      <x:c r="Z746" s="38"/>
    </x:row>
    <x:row r="747">
      <x:c r="A747" s="38"/>
      <x:c r="B747" s="38"/>
      <x:c r="C747" s="38"/>
      <x:c r="D747" s="38"/>
      <x:c r="E747" s="38"/>
      <x:c r="F747" s="38"/>
      <x:c r="G747" s="38"/>
      <x:c r="H747" s="38"/>
      <x:c r="I747" s="38"/>
      <x:c r="J747" s="38"/>
      <x:c r="K747" s="38"/>
      <x:c r="L747" s="38"/>
      <x:c r="M747" s="38"/>
      <x:c r="N747" s="38"/>
      <x:c r="O747" s="38"/>
      <x:c r="P747" s="38"/>
      <x:c r="Q747" s="38"/>
      <x:c r="R747" s="38"/>
      <x:c r="S747" s="38"/>
      <x:c r="T747" s="38"/>
      <x:c r="U747" s="38"/>
      <x:c r="V747" s="38"/>
      <x:c r="W747" s="38"/>
      <x:c r="X747" s="38"/>
      <x:c r="Y747" s="38"/>
      <x:c r="Z747" s="38"/>
    </x:row>
    <x:row r="748">
      <x:c r="A748" s="38"/>
      <x:c r="B748" s="38"/>
      <x:c r="C748" s="38"/>
      <x:c r="D748" s="38"/>
      <x:c r="E748" s="38"/>
      <x:c r="F748" s="38"/>
      <x:c r="G748" s="38"/>
      <x:c r="H748" s="38"/>
      <x:c r="I748" s="38"/>
      <x:c r="J748" s="38"/>
      <x:c r="K748" s="38"/>
      <x:c r="L748" s="38"/>
      <x:c r="M748" s="38"/>
      <x:c r="N748" s="38"/>
      <x:c r="O748" s="38"/>
      <x:c r="P748" s="38"/>
      <x:c r="Q748" s="38"/>
      <x:c r="R748" s="38"/>
      <x:c r="S748" s="38"/>
      <x:c r="T748" s="38"/>
      <x:c r="U748" s="38"/>
      <x:c r="V748" s="38"/>
      <x:c r="W748" s="38"/>
      <x:c r="X748" s="38"/>
      <x:c r="Y748" s="38"/>
      <x:c r="Z748" s="38"/>
    </x:row>
    <x:row r="749">
      <x:c r="A749" s="38"/>
      <x:c r="B749" s="38"/>
      <x:c r="C749" s="38"/>
      <x:c r="D749" s="38"/>
      <x:c r="E749" s="38"/>
      <x:c r="F749" s="38"/>
      <x:c r="G749" s="38"/>
      <x:c r="H749" s="38"/>
      <x:c r="I749" s="38"/>
      <x:c r="J749" s="38"/>
      <x:c r="K749" s="38"/>
      <x:c r="L749" s="38"/>
      <x:c r="M749" s="38"/>
      <x:c r="N749" s="38"/>
      <x:c r="O749" s="38"/>
      <x:c r="P749" s="38"/>
      <x:c r="Q749" s="38"/>
      <x:c r="R749" s="38"/>
      <x:c r="S749" s="38"/>
      <x:c r="T749" s="38"/>
      <x:c r="U749" s="38"/>
      <x:c r="V749" s="38"/>
      <x:c r="W749" s="38"/>
      <x:c r="X749" s="38"/>
      <x:c r="Y749" s="38"/>
      <x:c r="Z749" s="38"/>
    </x:row>
    <x:row r="750">
      <x:c r="A750" s="38"/>
      <x:c r="B750" s="38"/>
      <x:c r="C750" s="38"/>
      <x:c r="D750" s="38"/>
      <x:c r="E750" s="38"/>
      <x:c r="F750" s="38"/>
      <x:c r="G750" s="38"/>
      <x:c r="H750" s="38"/>
      <x:c r="I750" s="38"/>
      <x:c r="J750" s="38"/>
      <x:c r="K750" s="38"/>
      <x:c r="L750" s="38"/>
      <x:c r="M750" s="38"/>
      <x:c r="N750" s="38"/>
      <x:c r="O750" s="38"/>
      <x:c r="P750" s="38"/>
      <x:c r="Q750" s="38"/>
      <x:c r="R750" s="38"/>
      <x:c r="S750" s="38"/>
      <x:c r="T750" s="38"/>
      <x:c r="U750" s="38"/>
      <x:c r="V750" s="38"/>
      <x:c r="W750" s="38"/>
      <x:c r="X750" s="38"/>
      <x:c r="Y750" s="38"/>
      <x:c r="Z750" s="38"/>
    </x:row>
    <x:row r="751">
      <x:c r="A751" s="38"/>
      <x:c r="B751" s="38"/>
      <x:c r="C751" s="38"/>
      <x:c r="D751" s="38"/>
      <x:c r="E751" s="38"/>
      <x:c r="F751" s="38"/>
      <x:c r="G751" s="38"/>
      <x:c r="H751" s="38"/>
      <x:c r="I751" s="38"/>
      <x:c r="J751" s="38"/>
      <x:c r="K751" s="38"/>
      <x:c r="L751" s="38"/>
      <x:c r="M751" s="38"/>
      <x:c r="N751" s="38"/>
      <x:c r="O751" s="38"/>
      <x:c r="P751" s="38"/>
      <x:c r="Q751" s="38"/>
      <x:c r="R751" s="38"/>
      <x:c r="S751" s="38"/>
      <x:c r="T751" s="38"/>
      <x:c r="U751" s="38"/>
      <x:c r="V751" s="38"/>
      <x:c r="W751" s="38"/>
      <x:c r="X751" s="38"/>
      <x:c r="Y751" s="38"/>
      <x:c r="Z751" s="38"/>
    </x:row>
    <x:row r="752">
      <x:c r="A752" s="38"/>
      <x:c r="B752" s="38"/>
      <x:c r="C752" s="38"/>
      <x:c r="D752" s="38"/>
      <x:c r="E752" s="38"/>
      <x:c r="F752" s="38"/>
      <x:c r="G752" s="38"/>
      <x:c r="H752" s="38"/>
      <x:c r="I752" s="38"/>
      <x:c r="J752" s="38"/>
      <x:c r="K752" s="38"/>
      <x:c r="L752" s="38"/>
      <x:c r="M752" s="38"/>
      <x:c r="N752" s="38"/>
      <x:c r="O752" s="38"/>
      <x:c r="P752" s="38"/>
      <x:c r="Q752" s="38"/>
      <x:c r="R752" s="38"/>
      <x:c r="S752" s="38"/>
      <x:c r="T752" s="38"/>
      <x:c r="U752" s="38"/>
      <x:c r="V752" s="38"/>
      <x:c r="W752" s="38"/>
      <x:c r="X752" s="38"/>
      <x:c r="Y752" s="38"/>
      <x:c r="Z752" s="38"/>
    </x:row>
    <x:row r="753">
      <x:c r="A753" s="38"/>
      <x:c r="B753" s="38"/>
      <x:c r="C753" s="38"/>
      <x:c r="D753" s="38"/>
      <x:c r="E753" s="38"/>
      <x:c r="F753" s="38"/>
      <x:c r="G753" s="38"/>
      <x:c r="H753" s="38"/>
      <x:c r="I753" s="38"/>
      <x:c r="J753" s="38"/>
      <x:c r="K753" s="38"/>
      <x:c r="L753" s="38"/>
      <x:c r="M753" s="38"/>
      <x:c r="N753" s="38"/>
      <x:c r="O753" s="38"/>
      <x:c r="P753" s="38"/>
      <x:c r="Q753" s="38"/>
      <x:c r="R753" s="38"/>
      <x:c r="S753" s="38"/>
      <x:c r="T753" s="38"/>
      <x:c r="U753" s="38"/>
      <x:c r="V753" s="38"/>
      <x:c r="W753" s="38"/>
      <x:c r="X753" s="38"/>
      <x:c r="Y753" s="38"/>
      <x:c r="Z753" s="38"/>
    </x:row>
    <x:row r="754">
      <x:c r="A754" s="38"/>
      <x:c r="B754" s="38"/>
      <x:c r="C754" s="38"/>
      <x:c r="D754" s="38"/>
      <x:c r="E754" s="38"/>
      <x:c r="F754" s="38"/>
      <x:c r="G754" s="38"/>
      <x:c r="H754" s="38"/>
      <x:c r="I754" s="38"/>
      <x:c r="J754" s="38"/>
      <x:c r="K754" s="38"/>
      <x:c r="L754" s="38"/>
      <x:c r="M754" s="38"/>
      <x:c r="N754" s="38"/>
      <x:c r="O754" s="38"/>
      <x:c r="P754" s="38"/>
      <x:c r="Q754" s="38"/>
      <x:c r="R754" s="38"/>
      <x:c r="S754" s="38"/>
      <x:c r="T754" s="38"/>
      <x:c r="U754" s="38"/>
      <x:c r="V754" s="38"/>
      <x:c r="W754" s="38"/>
      <x:c r="X754" s="38"/>
      <x:c r="Y754" s="38"/>
      <x:c r="Z754" s="38"/>
    </x:row>
    <x:row r="755">
      <x:c r="A755" s="38"/>
      <x:c r="B755" s="38"/>
      <x:c r="C755" s="38"/>
      <x:c r="D755" s="38"/>
      <x:c r="E755" s="38"/>
      <x:c r="F755" s="38"/>
      <x:c r="G755" s="38"/>
      <x:c r="H755" s="38"/>
      <x:c r="I755" s="38"/>
      <x:c r="J755" s="38"/>
      <x:c r="K755" s="38"/>
      <x:c r="L755" s="38"/>
      <x:c r="M755" s="38"/>
      <x:c r="N755" s="38"/>
      <x:c r="O755" s="38"/>
      <x:c r="P755" s="38"/>
      <x:c r="Q755" s="38"/>
      <x:c r="R755" s="38"/>
      <x:c r="S755" s="38"/>
      <x:c r="T755" s="38"/>
      <x:c r="U755" s="38"/>
      <x:c r="V755" s="38"/>
      <x:c r="W755" s="38"/>
      <x:c r="X755" s="38"/>
      <x:c r="Y755" s="38"/>
      <x:c r="Z755" s="38"/>
    </x:row>
    <x:row r="756">
      <x:c r="A756" s="38"/>
      <x:c r="B756" s="38"/>
      <x:c r="C756" s="38"/>
      <x:c r="D756" s="38"/>
      <x:c r="E756" s="38"/>
      <x:c r="F756" s="38"/>
      <x:c r="G756" s="38"/>
      <x:c r="H756" s="38"/>
      <x:c r="I756" s="38"/>
      <x:c r="J756" s="38"/>
      <x:c r="K756" s="38"/>
      <x:c r="L756" s="38"/>
      <x:c r="M756" s="38"/>
      <x:c r="N756" s="38"/>
      <x:c r="O756" s="38"/>
      <x:c r="P756" s="38"/>
      <x:c r="Q756" s="38"/>
      <x:c r="R756" s="38"/>
      <x:c r="S756" s="38"/>
      <x:c r="T756" s="38"/>
      <x:c r="U756" s="38"/>
      <x:c r="V756" s="38"/>
      <x:c r="W756" s="38"/>
      <x:c r="X756" s="38"/>
      <x:c r="Y756" s="38"/>
      <x:c r="Z756" s="38"/>
    </x:row>
    <x:row r="757">
      <x:c r="A757" s="38"/>
      <x:c r="B757" s="38"/>
      <x:c r="C757" s="38"/>
      <x:c r="D757" s="38"/>
      <x:c r="E757" s="38"/>
      <x:c r="F757" s="38"/>
      <x:c r="G757" s="38"/>
      <x:c r="H757" s="38"/>
      <x:c r="I757" s="38"/>
      <x:c r="J757" s="38"/>
      <x:c r="K757" s="38"/>
      <x:c r="L757" s="38"/>
      <x:c r="M757" s="38"/>
      <x:c r="N757" s="38"/>
      <x:c r="O757" s="38"/>
      <x:c r="P757" s="38"/>
      <x:c r="Q757" s="38"/>
      <x:c r="R757" s="38"/>
      <x:c r="S757" s="38"/>
      <x:c r="T757" s="38"/>
      <x:c r="U757" s="38"/>
      <x:c r="V757" s="38"/>
      <x:c r="W757" s="38"/>
      <x:c r="X757" s="38"/>
      <x:c r="Y757" s="38"/>
      <x:c r="Z757" s="38"/>
    </x:row>
    <x:row r="758">
      <x:c r="A758" s="38"/>
      <x:c r="B758" s="38"/>
      <x:c r="C758" s="38"/>
      <x:c r="D758" s="38"/>
      <x:c r="E758" s="38"/>
      <x:c r="F758" s="38"/>
      <x:c r="G758" s="38"/>
      <x:c r="H758" s="38"/>
      <x:c r="I758" s="38"/>
      <x:c r="J758" s="38"/>
      <x:c r="K758" s="38"/>
      <x:c r="L758" s="38"/>
      <x:c r="M758" s="38"/>
      <x:c r="N758" s="38"/>
      <x:c r="O758" s="38"/>
      <x:c r="P758" s="38"/>
      <x:c r="Q758" s="38"/>
      <x:c r="R758" s="38"/>
      <x:c r="S758" s="38"/>
      <x:c r="T758" s="38"/>
      <x:c r="U758" s="38"/>
      <x:c r="V758" s="38"/>
      <x:c r="W758" s="38"/>
      <x:c r="X758" s="38"/>
      <x:c r="Y758" s="38"/>
      <x:c r="Z758" s="38"/>
    </x:row>
    <x:row r="759">
      <x:c r="A759" s="38"/>
      <x:c r="B759" s="38"/>
      <x:c r="C759" s="38"/>
      <x:c r="D759" s="38"/>
      <x:c r="E759" s="38"/>
      <x:c r="F759" s="38"/>
      <x:c r="G759" s="38"/>
      <x:c r="H759" s="38"/>
      <x:c r="I759" s="38"/>
      <x:c r="J759" s="38"/>
      <x:c r="K759" s="38"/>
      <x:c r="L759" s="38"/>
      <x:c r="M759" s="38"/>
      <x:c r="N759" s="38"/>
      <x:c r="O759" s="38"/>
      <x:c r="P759" s="38"/>
      <x:c r="Q759" s="38"/>
      <x:c r="R759" s="38"/>
      <x:c r="S759" s="38"/>
      <x:c r="T759" s="38"/>
      <x:c r="U759" s="38"/>
      <x:c r="V759" s="38"/>
      <x:c r="W759" s="38"/>
      <x:c r="X759" s="38"/>
      <x:c r="Y759" s="38"/>
      <x:c r="Z759" s="38"/>
    </x:row>
    <x:row r="760">
      <x:c r="A760" s="38"/>
      <x:c r="B760" s="38"/>
      <x:c r="C760" s="38"/>
      <x:c r="D760" s="38"/>
      <x:c r="E760" s="38"/>
      <x:c r="F760" s="38"/>
      <x:c r="G760" s="38"/>
      <x:c r="H760" s="38"/>
      <x:c r="I760" s="38"/>
      <x:c r="J760" s="38"/>
      <x:c r="K760" s="38"/>
      <x:c r="L760" s="38"/>
      <x:c r="M760" s="38"/>
      <x:c r="N760" s="38"/>
      <x:c r="O760" s="38"/>
      <x:c r="P760" s="38"/>
      <x:c r="Q760" s="38"/>
      <x:c r="R760" s="38"/>
      <x:c r="S760" s="38"/>
      <x:c r="T760" s="38"/>
      <x:c r="U760" s="38"/>
      <x:c r="V760" s="38"/>
      <x:c r="W760" s="38"/>
      <x:c r="X760" s="38"/>
      <x:c r="Y760" s="38"/>
      <x:c r="Z760" s="38"/>
    </x:row>
    <x:row r="761">
      <x:c r="A761" s="38"/>
      <x:c r="B761" s="38"/>
      <x:c r="C761" s="38"/>
      <x:c r="D761" s="38"/>
      <x:c r="E761" s="38"/>
      <x:c r="F761" s="38"/>
      <x:c r="G761" s="38"/>
      <x:c r="H761" s="38"/>
      <x:c r="I761" s="38"/>
      <x:c r="J761" s="38"/>
      <x:c r="K761" s="38"/>
      <x:c r="L761" s="38"/>
      <x:c r="M761" s="38"/>
      <x:c r="N761" s="38"/>
      <x:c r="O761" s="38"/>
      <x:c r="P761" s="38"/>
      <x:c r="Q761" s="38"/>
      <x:c r="R761" s="38"/>
      <x:c r="S761" s="38"/>
      <x:c r="T761" s="38"/>
      <x:c r="U761" s="38"/>
      <x:c r="V761" s="38"/>
      <x:c r="W761" s="38"/>
      <x:c r="X761" s="38"/>
      <x:c r="Y761" s="38"/>
      <x:c r="Z761" s="38"/>
    </x:row>
    <x:row r="762">
      <x:c r="A762" s="38"/>
      <x:c r="B762" s="38"/>
      <x:c r="C762" s="38"/>
      <x:c r="D762" s="38"/>
      <x:c r="E762" s="38"/>
      <x:c r="F762" s="38"/>
      <x:c r="G762" s="38"/>
      <x:c r="H762" s="38"/>
      <x:c r="I762" s="38"/>
      <x:c r="J762" s="38"/>
      <x:c r="K762" s="38"/>
      <x:c r="L762" s="38"/>
      <x:c r="M762" s="38"/>
      <x:c r="N762" s="38"/>
      <x:c r="O762" s="38"/>
      <x:c r="P762" s="38"/>
      <x:c r="Q762" s="38"/>
      <x:c r="R762" s="38"/>
      <x:c r="S762" s="38"/>
      <x:c r="T762" s="38"/>
      <x:c r="U762" s="38"/>
      <x:c r="V762" s="38"/>
      <x:c r="W762" s="38"/>
      <x:c r="X762" s="38"/>
      <x:c r="Y762" s="38"/>
      <x:c r="Z762" s="38"/>
    </x:row>
    <x:row r="763">
      <x:c r="A763" s="38"/>
      <x:c r="B763" s="38"/>
      <x:c r="C763" s="38"/>
      <x:c r="D763" s="38"/>
      <x:c r="E763" s="38"/>
      <x:c r="F763" s="38"/>
      <x:c r="G763" s="38"/>
      <x:c r="H763" s="38"/>
      <x:c r="I763" s="38"/>
      <x:c r="J763" s="38"/>
      <x:c r="K763" s="38"/>
      <x:c r="L763" s="38"/>
      <x:c r="M763" s="38"/>
      <x:c r="N763" s="38"/>
      <x:c r="O763" s="38"/>
      <x:c r="P763" s="38"/>
      <x:c r="Q763" s="38"/>
      <x:c r="R763" s="38"/>
      <x:c r="S763" s="38"/>
      <x:c r="T763" s="38"/>
      <x:c r="U763" s="38"/>
      <x:c r="V763" s="38"/>
      <x:c r="W763" s="38"/>
      <x:c r="X763" s="38"/>
      <x:c r="Y763" s="38"/>
      <x:c r="Z763" s="38"/>
    </x:row>
    <x:row r="764">
      <x:c r="A764" s="38"/>
      <x:c r="B764" s="38"/>
      <x:c r="C764" s="38"/>
      <x:c r="D764" s="38"/>
      <x:c r="E764" s="38"/>
      <x:c r="F764" s="38"/>
      <x:c r="G764" s="38"/>
      <x:c r="H764" s="38"/>
      <x:c r="I764" s="38"/>
      <x:c r="J764" s="38"/>
      <x:c r="K764" s="38"/>
      <x:c r="L764" s="38"/>
      <x:c r="M764" s="38"/>
      <x:c r="N764" s="38"/>
      <x:c r="O764" s="38"/>
      <x:c r="P764" s="38"/>
      <x:c r="Q764" s="38"/>
      <x:c r="R764" s="38"/>
      <x:c r="S764" s="38"/>
      <x:c r="T764" s="38"/>
      <x:c r="U764" s="38"/>
      <x:c r="V764" s="38"/>
      <x:c r="W764" s="38"/>
      <x:c r="X764" s="38"/>
      <x:c r="Y764" s="38"/>
      <x:c r="Z764" s="38"/>
    </x:row>
    <x:row r="765">
      <x:c r="A765" s="38"/>
      <x:c r="B765" s="38"/>
      <x:c r="C765" s="38"/>
      <x:c r="D765" s="38"/>
      <x:c r="E765" s="38"/>
      <x:c r="F765" s="38"/>
      <x:c r="G765" s="38"/>
      <x:c r="H765" s="38"/>
      <x:c r="I765" s="38"/>
      <x:c r="J765" s="38"/>
      <x:c r="K765" s="38"/>
      <x:c r="L765" s="38"/>
      <x:c r="M765" s="38"/>
      <x:c r="N765" s="38"/>
      <x:c r="O765" s="38"/>
      <x:c r="P765" s="38"/>
      <x:c r="Q765" s="38"/>
      <x:c r="R765" s="38"/>
      <x:c r="S765" s="38"/>
      <x:c r="T765" s="38"/>
      <x:c r="U765" s="38"/>
      <x:c r="V765" s="38"/>
      <x:c r="W765" s="38"/>
      <x:c r="X765" s="38"/>
      <x:c r="Y765" s="38"/>
      <x:c r="Z765" s="38"/>
    </x:row>
    <x:row r="766">
      <x:c r="A766" s="38"/>
      <x:c r="B766" s="38"/>
      <x:c r="C766" s="38"/>
      <x:c r="D766" s="38"/>
      <x:c r="E766" s="38"/>
      <x:c r="F766" s="38"/>
      <x:c r="G766" s="38"/>
      <x:c r="H766" s="38"/>
      <x:c r="I766" s="38"/>
      <x:c r="J766" s="38"/>
      <x:c r="K766" s="38"/>
      <x:c r="L766" s="38"/>
      <x:c r="M766" s="38"/>
      <x:c r="N766" s="38"/>
      <x:c r="O766" s="38"/>
      <x:c r="P766" s="38"/>
      <x:c r="Q766" s="38"/>
      <x:c r="R766" s="38"/>
      <x:c r="S766" s="38"/>
      <x:c r="T766" s="38"/>
      <x:c r="U766" s="38"/>
      <x:c r="V766" s="38"/>
      <x:c r="W766" s="38"/>
      <x:c r="X766" s="38"/>
      <x:c r="Y766" s="38"/>
      <x:c r="Z766" s="38"/>
    </x:row>
    <x:row r="767">
      <x:c r="A767" s="38"/>
      <x:c r="B767" s="38"/>
      <x:c r="C767" s="38"/>
      <x:c r="D767" s="38"/>
      <x:c r="E767" s="38"/>
      <x:c r="F767" s="38"/>
      <x:c r="G767" s="38"/>
      <x:c r="H767" s="38"/>
      <x:c r="I767" s="38"/>
      <x:c r="J767" s="38"/>
      <x:c r="K767" s="38"/>
      <x:c r="L767" s="38"/>
      <x:c r="M767" s="38"/>
      <x:c r="N767" s="38"/>
      <x:c r="O767" s="38"/>
      <x:c r="P767" s="38"/>
      <x:c r="Q767" s="38"/>
      <x:c r="R767" s="38"/>
      <x:c r="S767" s="38"/>
      <x:c r="T767" s="38"/>
      <x:c r="U767" s="38"/>
      <x:c r="V767" s="38"/>
      <x:c r="W767" s="38"/>
      <x:c r="X767" s="38"/>
      <x:c r="Y767" s="38"/>
      <x:c r="Z767" s="38"/>
    </x:row>
    <x:row r="768">
      <x:c r="A768" s="38"/>
      <x:c r="B768" s="38"/>
      <x:c r="C768" s="38"/>
      <x:c r="D768" s="38"/>
      <x:c r="E768" s="38"/>
      <x:c r="F768" s="38"/>
      <x:c r="G768" s="38"/>
      <x:c r="H768" s="38"/>
      <x:c r="I768" s="38"/>
      <x:c r="J768" s="38"/>
      <x:c r="K768" s="38"/>
      <x:c r="L768" s="38"/>
      <x:c r="M768" s="38"/>
      <x:c r="N768" s="38"/>
      <x:c r="O768" s="38"/>
      <x:c r="P768" s="38"/>
      <x:c r="Q768" s="38"/>
      <x:c r="R768" s="38"/>
      <x:c r="S768" s="38"/>
      <x:c r="T768" s="38"/>
      <x:c r="U768" s="38"/>
      <x:c r="V768" s="38"/>
      <x:c r="W768" s="38"/>
      <x:c r="X768" s="38"/>
      <x:c r="Y768" s="38"/>
      <x:c r="Z768" s="38"/>
    </x:row>
    <x:row r="769">
      <x:c r="A769" s="38"/>
      <x:c r="B769" s="38"/>
      <x:c r="C769" s="38"/>
      <x:c r="D769" s="38"/>
      <x:c r="E769" s="38"/>
      <x:c r="F769" s="38"/>
      <x:c r="G769" s="38"/>
      <x:c r="H769" s="38"/>
      <x:c r="I769" s="38"/>
      <x:c r="J769" s="38"/>
      <x:c r="K769" s="38"/>
      <x:c r="L769" s="38"/>
      <x:c r="M769" s="38"/>
      <x:c r="N769" s="38"/>
      <x:c r="O769" s="38"/>
      <x:c r="P769" s="38"/>
      <x:c r="Q769" s="38"/>
      <x:c r="R769" s="38"/>
      <x:c r="S769" s="38"/>
      <x:c r="T769" s="38"/>
      <x:c r="U769" s="38"/>
      <x:c r="V769" s="38"/>
      <x:c r="W769" s="38"/>
      <x:c r="X769" s="38"/>
      <x:c r="Y769" s="38"/>
      <x:c r="Z769" s="38"/>
    </x:row>
    <x:row r="770">
      <x:c r="A770" s="38"/>
      <x:c r="B770" s="38"/>
      <x:c r="C770" s="38"/>
      <x:c r="D770" s="38"/>
      <x:c r="E770" s="38"/>
      <x:c r="F770" s="38"/>
      <x:c r="G770" s="38"/>
      <x:c r="H770" s="38"/>
      <x:c r="I770" s="38"/>
      <x:c r="J770" s="38"/>
      <x:c r="K770" s="38"/>
      <x:c r="L770" s="38"/>
      <x:c r="M770" s="38"/>
      <x:c r="N770" s="38"/>
      <x:c r="O770" s="38"/>
      <x:c r="P770" s="38"/>
      <x:c r="Q770" s="38"/>
      <x:c r="R770" s="38"/>
      <x:c r="S770" s="38"/>
      <x:c r="T770" s="38"/>
      <x:c r="U770" s="38"/>
      <x:c r="V770" s="38"/>
      <x:c r="W770" s="38"/>
      <x:c r="X770" s="38"/>
      <x:c r="Y770" s="38"/>
      <x:c r="Z770" s="38"/>
    </x:row>
    <x:row r="771">
      <x:c r="A771" s="38"/>
      <x:c r="B771" s="38"/>
      <x:c r="C771" s="38"/>
      <x:c r="D771" s="38"/>
      <x:c r="E771" s="38"/>
      <x:c r="F771" s="38"/>
      <x:c r="G771" s="38"/>
      <x:c r="H771" s="38"/>
      <x:c r="I771" s="38"/>
      <x:c r="J771" s="38"/>
      <x:c r="K771" s="38"/>
      <x:c r="L771" s="38"/>
      <x:c r="M771" s="38"/>
      <x:c r="N771" s="38"/>
      <x:c r="O771" s="38"/>
      <x:c r="P771" s="38"/>
      <x:c r="Q771" s="38"/>
      <x:c r="R771" s="38"/>
      <x:c r="S771" s="38"/>
      <x:c r="T771" s="38"/>
      <x:c r="U771" s="38"/>
      <x:c r="V771" s="38"/>
      <x:c r="W771" s="38"/>
      <x:c r="X771" s="38"/>
      <x:c r="Y771" s="38"/>
      <x:c r="Z771" s="38"/>
    </x:row>
    <x:row r="772">
      <x:c r="A772" s="38"/>
      <x:c r="B772" s="38"/>
      <x:c r="C772" s="38"/>
      <x:c r="D772" s="38"/>
      <x:c r="E772" s="38"/>
      <x:c r="F772" s="38"/>
      <x:c r="G772" s="38"/>
      <x:c r="H772" s="38"/>
      <x:c r="I772" s="38"/>
      <x:c r="J772" s="38"/>
      <x:c r="K772" s="38"/>
      <x:c r="L772" s="38"/>
      <x:c r="M772" s="38"/>
      <x:c r="N772" s="38"/>
      <x:c r="O772" s="38"/>
      <x:c r="P772" s="38"/>
      <x:c r="Q772" s="38"/>
      <x:c r="R772" s="38"/>
      <x:c r="S772" s="38"/>
      <x:c r="T772" s="38"/>
      <x:c r="U772" s="38"/>
      <x:c r="V772" s="38"/>
      <x:c r="W772" s="38"/>
      <x:c r="X772" s="38"/>
      <x:c r="Y772" s="38"/>
      <x:c r="Z772" s="38"/>
    </x:row>
    <x:row r="773">
      <x:c r="A773" s="38"/>
      <x:c r="B773" s="38"/>
      <x:c r="C773" s="38"/>
      <x:c r="D773" s="38"/>
      <x:c r="E773" s="38"/>
      <x:c r="F773" s="38"/>
      <x:c r="G773" s="38"/>
      <x:c r="H773" s="38"/>
      <x:c r="I773" s="38"/>
      <x:c r="J773" s="38"/>
      <x:c r="K773" s="38"/>
      <x:c r="L773" s="38"/>
      <x:c r="M773" s="38"/>
      <x:c r="N773" s="38"/>
      <x:c r="O773" s="38"/>
      <x:c r="P773" s="38"/>
      <x:c r="Q773" s="38"/>
      <x:c r="R773" s="38"/>
      <x:c r="S773" s="38"/>
      <x:c r="T773" s="38"/>
      <x:c r="U773" s="38"/>
      <x:c r="V773" s="38"/>
      <x:c r="W773" s="38"/>
      <x:c r="X773" s="38"/>
      <x:c r="Y773" s="38"/>
      <x:c r="Z773" s="38"/>
    </x:row>
    <x:row r="774">
      <x:c r="A774" s="38"/>
      <x:c r="B774" s="38"/>
      <x:c r="C774" s="38"/>
      <x:c r="D774" s="38"/>
      <x:c r="E774" s="38"/>
      <x:c r="F774" s="38"/>
      <x:c r="G774" s="38"/>
      <x:c r="H774" s="38"/>
      <x:c r="I774" s="38"/>
      <x:c r="J774" s="38"/>
      <x:c r="K774" s="38"/>
      <x:c r="L774" s="38"/>
      <x:c r="M774" s="38"/>
      <x:c r="N774" s="38"/>
      <x:c r="O774" s="38"/>
      <x:c r="P774" s="38"/>
      <x:c r="Q774" s="38"/>
      <x:c r="R774" s="38"/>
      <x:c r="S774" s="38"/>
      <x:c r="T774" s="38"/>
      <x:c r="U774" s="38"/>
      <x:c r="V774" s="38"/>
      <x:c r="W774" s="38"/>
      <x:c r="X774" s="38"/>
      <x:c r="Y774" s="38"/>
      <x:c r="Z774" s="38"/>
    </x:row>
    <x:row r="775">
      <x:c r="A775" s="38"/>
      <x:c r="B775" s="38"/>
      <x:c r="C775" s="38"/>
      <x:c r="D775" s="38"/>
      <x:c r="E775" s="38"/>
      <x:c r="F775" s="38"/>
      <x:c r="G775" s="38"/>
      <x:c r="H775" s="38"/>
      <x:c r="I775" s="38"/>
      <x:c r="J775" s="38"/>
      <x:c r="K775" s="38"/>
      <x:c r="L775" s="38"/>
      <x:c r="M775" s="38"/>
      <x:c r="N775" s="38"/>
      <x:c r="O775" s="38"/>
      <x:c r="P775" s="38"/>
      <x:c r="Q775" s="38"/>
      <x:c r="R775" s="38"/>
      <x:c r="S775" s="38"/>
      <x:c r="T775" s="38"/>
      <x:c r="U775" s="38"/>
      <x:c r="V775" s="38"/>
      <x:c r="W775" s="38"/>
      <x:c r="X775" s="38"/>
      <x:c r="Y775" s="38"/>
      <x:c r="Z775" s="38"/>
    </x:row>
    <x:row r="776">
      <x:c r="A776" s="38"/>
      <x:c r="B776" s="38"/>
      <x:c r="C776" s="38"/>
      <x:c r="D776" s="38"/>
      <x:c r="E776" s="38"/>
      <x:c r="F776" s="38"/>
      <x:c r="G776" s="38"/>
      <x:c r="H776" s="38"/>
      <x:c r="I776" s="38"/>
      <x:c r="J776" s="38"/>
      <x:c r="K776" s="38"/>
      <x:c r="L776" s="38"/>
      <x:c r="M776" s="38"/>
      <x:c r="N776" s="38"/>
      <x:c r="O776" s="38"/>
      <x:c r="P776" s="38"/>
      <x:c r="Q776" s="38"/>
      <x:c r="R776" s="38"/>
      <x:c r="S776" s="38"/>
      <x:c r="T776" s="38"/>
      <x:c r="U776" s="38"/>
      <x:c r="V776" s="38"/>
      <x:c r="W776" s="38"/>
      <x:c r="X776" s="38"/>
      <x:c r="Y776" s="38"/>
      <x:c r="Z776" s="38"/>
    </x:row>
    <x:row r="777">
      <x:c r="A777" s="38"/>
      <x:c r="B777" s="38"/>
      <x:c r="C777" s="38"/>
      <x:c r="D777" s="38"/>
      <x:c r="E777" s="38"/>
      <x:c r="F777" s="38"/>
      <x:c r="G777" s="38"/>
      <x:c r="H777" s="38"/>
      <x:c r="I777" s="38"/>
      <x:c r="J777" s="38"/>
      <x:c r="K777" s="38"/>
      <x:c r="L777" s="38"/>
      <x:c r="M777" s="38"/>
      <x:c r="N777" s="38"/>
      <x:c r="O777" s="38"/>
      <x:c r="P777" s="38"/>
      <x:c r="Q777" s="38"/>
      <x:c r="R777" s="38"/>
      <x:c r="S777" s="38"/>
      <x:c r="T777" s="38"/>
      <x:c r="U777" s="38"/>
      <x:c r="V777" s="38"/>
      <x:c r="W777" s="38"/>
      <x:c r="X777" s="38"/>
      <x:c r="Y777" s="38"/>
      <x:c r="Z777" s="38"/>
    </x:row>
    <x:row r="778">
      <x:c r="A778" s="38"/>
      <x:c r="B778" s="38"/>
      <x:c r="C778" s="38"/>
      <x:c r="D778" s="38"/>
      <x:c r="E778" s="38"/>
      <x:c r="F778" s="38"/>
      <x:c r="G778" s="38"/>
      <x:c r="H778" s="38"/>
      <x:c r="I778" s="38"/>
      <x:c r="J778" s="38"/>
      <x:c r="K778" s="38"/>
      <x:c r="L778" s="38"/>
      <x:c r="M778" s="38"/>
      <x:c r="N778" s="38"/>
      <x:c r="O778" s="38"/>
      <x:c r="P778" s="38"/>
      <x:c r="Q778" s="38"/>
      <x:c r="R778" s="38"/>
      <x:c r="S778" s="38"/>
      <x:c r="T778" s="38"/>
      <x:c r="U778" s="38"/>
      <x:c r="V778" s="38"/>
      <x:c r="W778" s="38"/>
      <x:c r="X778" s="38"/>
      <x:c r="Y778" s="38"/>
      <x:c r="Z778" s="38"/>
    </x:row>
    <x:row r="779">
      <x:c r="A779" s="38"/>
      <x:c r="B779" s="38"/>
      <x:c r="C779" s="38"/>
      <x:c r="D779" s="38"/>
      <x:c r="E779" s="38"/>
      <x:c r="F779" s="38"/>
      <x:c r="G779" s="38"/>
      <x:c r="H779" s="38"/>
      <x:c r="I779" s="38"/>
      <x:c r="J779" s="38"/>
      <x:c r="K779" s="38"/>
      <x:c r="L779" s="38"/>
      <x:c r="M779" s="38"/>
      <x:c r="N779" s="38"/>
      <x:c r="O779" s="38"/>
      <x:c r="P779" s="38"/>
      <x:c r="Q779" s="38"/>
      <x:c r="R779" s="38"/>
      <x:c r="S779" s="38"/>
      <x:c r="T779" s="38"/>
      <x:c r="U779" s="38"/>
      <x:c r="V779" s="38"/>
      <x:c r="W779" s="38"/>
      <x:c r="X779" s="38"/>
      <x:c r="Y779" s="38"/>
      <x:c r="Z779" s="38"/>
    </x:row>
    <x:row r="780">
      <x:c r="A780" s="38"/>
      <x:c r="B780" s="38"/>
      <x:c r="C780" s="38"/>
      <x:c r="D780" s="38"/>
      <x:c r="E780" s="38"/>
      <x:c r="F780" s="38"/>
      <x:c r="G780" s="38"/>
      <x:c r="H780" s="38"/>
      <x:c r="I780" s="38"/>
      <x:c r="J780" s="38"/>
      <x:c r="K780" s="38"/>
      <x:c r="L780" s="38"/>
      <x:c r="M780" s="38"/>
      <x:c r="N780" s="38"/>
      <x:c r="O780" s="38"/>
      <x:c r="P780" s="38"/>
      <x:c r="Q780" s="38"/>
      <x:c r="R780" s="38"/>
      <x:c r="S780" s="38"/>
      <x:c r="T780" s="38"/>
      <x:c r="U780" s="38"/>
      <x:c r="V780" s="38"/>
      <x:c r="W780" s="38"/>
      <x:c r="X780" s="38"/>
      <x:c r="Y780" s="38"/>
      <x:c r="Z780" s="38"/>
    </x:row>
    <x:row r="781">
      <x:c r="A781" s="38"/>
      <x:c r="B781" s="38"/>
      <x:c r="C781" s="38"/>
      <x:c r="D781" s="38"/>
      <x:c r="E781" s="38"/>
      <x:c r="F781" s="38"/>
      <x:c r="G781" s="38"/>
      <x:c r="H781" s="38"/>
      <x:c r="I781" s="38"/>
      <x:c r="J781" s="38"/>
      <x:c r="K781" s="38"/>
      <x:c r="L781" s="38"/>
      <x:c r="M781" s="38"/>
      <x:c r="N781" s="38"/>
      <x:c r="O781" s="38"/>
      <x:c r="P781" s="38"/>
      <x:c r="Q781" s="38"/>
      <x:c r="R781" s="38"/>
      <x:c r="S781" s="38"/>
      <x:c r="T781" s="38"/>
      <x:c r="U781" s="38"/>
      <x:c r="V781" s="38"/>
      <x:c r="W781" s="38"/>
      <x:c r="X781" s="38"/>
      <x:c r="Y781" s="38"/>
      <x:c r="Z781" s="38"/>
    </x:row>
    <x:row r="782">
      <x:c r="A782" s="38"/>
      <x:c r="B782" s="38"/>
      <x:c r="C782" s="38"/>
      <x:c r="D782" s="38"/>
      <x:c r="E782" s="38"/>
      <x:c r="F782" s="38"/>
      <x:c r="G782" s="38"/>
      <x:c r="H782" s="38"/>
      <x:c r="I782" s="38"/>
      <x:c r="J782" s="38"/>
      <x:c r="K782" s="38"/>
      <x:c r="L782" s="38"/>
      <x:c r="M782" s="38"/>
      <x:c r="N782" s="38"/>
      <x:c r="O782" s="38"/>
      <x:c r="P782" s="38"/>
      <x:c r="Q782" s="38"/>
      <x:c r="R782" s="38"/>
      <x:c r="S782" s="38"/>
      <x:c r="T782" s="38"/>
      <x:c r="U782" s="38"/>
      <x:c r="V782" s="38"/>
      <x:c r="W782" s="38"/>
      <x:c r="X782" s="38"/>
      <x:c r="Y782" s="38"/>
      <x:c r="Z782" s="38"/>
    </x:row>
    <x:row r="783">
      <x:c r="A783" s="38"/>
      <x:c r="B783" s="38"/>
      <x:c r="C783" s="38"/>
      <x:c r="D783" s="38"/>
      <x:c r="E783" s="38"/>
      <x:c r="F783" s="38"/>
      <x:c r="G783" s="38"/>
      <x:c r="H783" s="38"/>
      <x:c r="I783" s="38"/>
      <x:c r="J783" s="38"/>
      <x:c r="K783" s="38"/>
      <x:c r="L783" s="38"/>
      <x:c r="M783" s="38"/>
      <x:c r="N783" s="38"/>
      <x:c r="O783" s="38"/>
      <x:c r="P783" s="38"/>
      <x:c r="Q783" s="38"/>
      <x:c r="R783" s="38"/>
      <x:c r="S783" s="38"/>
      <x:c r="T783" s="38"/>
      <x:c r="U783" s="38"/>
      <x:c r="V783" s="38"/>
      <x:c r="W783" s="38"/>
      <x:c r="X783" s="38"/>
      <x:c r="Y783" s="38"/>
      <x:c r="Z783" s="38"/>
    </x:row>
    <x:row r="784">
      <x:c r="A784" s="38"/>
      <x:c r="B784" s="38"/>
      <x:c r="C784" s="38"/>
      <x:c r="D784" s="38"/>
      <x:c r="E784" s="38"/>
      <x:c r="F784" s="38"/>
      <x:c r="G784" s="38"/>
      <x:c r="H784" s="38"/>
      <x:c r="I784" s="38"/>
      <x:c r="J784" s="38"/>
      <x:c r="K784" s="38"/>
      <x:c r="L784" s="38"/>
      <x:c r="M784" s="38"/>
      <x:c r="N784" s="38"/>
      <x:c r="O784" s="38"/>
      <x:c r="P784" s="38"/>
      <x:c r="Q784" s="38"/>
      <x:c r="R784" s="38"/>
      <x:c r="S784" s="38"/>
      <x:c r="T784" s="38"/>
      <x:c r="U784" s="38"/>
      <x:c r="V784" s="38"/>
      <x:c r="W784" s="38"/>
      <x:c r="X784" s="38"/>
      <x:c r="Y784" s="38"/>
      <x:c r="Z784" s="38"/>
    </x:row>
    <x:row r="785">
      <x:c r="A785" s="38"/>
      <x:c r="B785" s="38"/>
      <x:c r="C785" s="38"/>
      <x:c r="D785" s="38"/>
      <x:c r="E785" s="38"/>
      <x:c r="F785" s="38"/>
      <x:c r="G785" s="38"/>
      <x:c r="H785" s="38"/>
      <x:c r="I785" s="38"/>
      <x:c r="J785" s="38"/>
      <x:c r="K785" s="38"/>
      <x:c r="L785" s="38"/>
      <x:c r="M785" s="38"/>
      <x:c r="N785" s="38"/>
      <x:c r="O785" s="38"/>
      <x:c r="P785" s="38"/>
      <x:c r="Q785" s="38"/>
      <x:c r="R785" s="38"/>
      <x:c r="S785" s="38"/>
      <x:c r="T785" s="38"/>
      <x:c r="U785" s="38"/>
      <x:c r="V785" s="38"/>
      <x:c r="W785" s="38"/>
      <x:c r="X785" s="38"/>
      <x:c r="Y785" s="38"/>
      <x:c r="Z785" s="38"/>
    </x:row>
    <x:row r="786">
      <x:c r="A786" s="38"/>
      <x:c r="B786" s="38"/>
      <x:c r="C786" s="38"/>
      <x:c r="D786" s="38"/>
      <x:c r="E786" s="38"/>
      <x:c r="F786" s="38"/>
      <x:c r="G786" s="38"/>
      <x:c r="H786" s="38"/>
      <x:c r="I786" s="38"/>
      <x:c r="J786" s="38"/>
      <x:c r="K786" s="38"/>
      <x:c r="L786" s="38"/>
      <x:c r="M786" s="38"/>
      <x:c r="N786" s="38"/>
      <x:c r="O786" s="38"/>
      <x:c r="P786" s="38"/>
      <x:c r="Q786" s="38"/>
      <x:c r="R786" s="38"/>
      <x:c r="S786" s="38"/>
      <x:c r="T786" s="38"/>
      <x:c r="U786" s="38"/>
      <x:c r="V786" s="38"/>
      <x:c r="W786" s="38"/>
      <x:c r="X786" s="38"/>
      <x:c r="Y786" s="38"/>
      <x:c r="Z786" s="38"/>
    </x:row>
    <x:row r="787">
      <x:c r="A787" s="38"/>
      <x:c r="B787" s="38"/>
      <x:c r="C787" s="38"/>
      <x:c r="D787" s="38"/>
      <x:c r="E787" s="38"/>
      <x:c r="F787" s="38"/>
      <x:c r="G787" s="38"/>
      <x:c r="H787" s="38"/>
      <x:c r="I787" s="38"/>
      <x:c r="J787" s="38"/>
      <x:c r="K787" s="38"/>
      <x:c r="L787" s="38"/>
      <x:c r="M787" s="38"/>
      <x:c r="N787" s="38"/>
      <x:c r="O787" s="38"/>
      <x:c r="P787" s="38"/>
      <x:c r="Q787" s="38"/>
      <x:c r="R787" s="38"/>
      <x:c r="S787" s="38"/>
      <x:c r="T787" s="38"/>
      <x:c r="U787" s="38"/>
      <x:c r="V787" s="38"/>
      <x:c r="W787" s="38"/>
      <x:c r="X787" s="38"/>
      <x:c r="Y787" s="38"/>
      <x:c r="Z787" s="38"/>
    </x:row>
    <x:row r="788">
      <x:c r="A788" s="38"/>
      <x:c r="B788" s="38"/>
      <x:c r="C788" s="38"/>
      <x:c r="D788" s="38"/>
      <x:c r="E788" s="38"/>
      <x:c r="F788" s="38"/>
      <x:c r="G788" s="38"/>
      <x:c r="H788" s="38"/>
      <x:c r="I788" s="38"/>
      <x:c r="J788" s="38"/>
      <x:c r="K788" s="38"/>
      <x:c r="L788" s="38"/>
      <x:c r="M788" s="38"/>
      <x:c r="N788" s="38"/>
      <x:c r="O788" s="38"/>
      <x:c r="P788" s="38"/>
      <x:c r="Q788" s="38"/>
      <x:c r="R788" s="38"/>
      <x:c r="S788" s="38"/>
      <x:c r="T788" s="38"/>
      <x:c r="U788" s="38"/>
      <x:c r="V788" s="38"/>
      <x:c r="W788" s="38"/>
      <x:c r="X788" s="38"/>
      <x:c r="Y788" s="38"/>
      <x:c r="Z788" s="38"/>
    </x:row>
    <x:row r="789">
      <x:c r="A789" s="38"/>
      <x:c r="B789" s="38"/>
      <x:c r="C789" s="38"/>
      <x:c r="D789" s="38"/>
      <x:c r="E789" s="38"/>
      <x:c r="F789" s="38"/>
      <x:c r="G789" s="38"/>
      <x:c r="H789" s="38"/>
      <x:c r="I789" s="38"/>
      <x:c r="J789" s="38"/>
      <x:c r="K789" s="38"/>
      <x:c r="L789" s="38"/>
      <x:c r="M789" s="38"/>
      <x:c r="N789" s="38"/>
      <x:c r="O789" s="38"/>
      <x:c r="P789" s="38"/>
      <x:c r="Q789" s="38"/>
      <x:c r="R789" s="38"/>
      <x:c r="S789" s="38"/>
      <x:c r="T789" s="38"/>
      <x:c r="U789" s="38"/>
      <x:c r="V789" s="38"/>
      <x:c r="W789" s="38"/>
      <x:c r="X789" s="38"/>
      <x:c r="Y789" s="38"/>
      <x:c r="Z789" s="38"/>
    </x:row>
    <x:row r="790">
      <x:c r="A790" s="38"/>
      <x:c r="B790" s="38"/>
      <x:c r="C790" s="38"/>
      <x:c r="D790" s="38"/>
      <x:c r="E790" s="38"/>
      <x:c r="F790" s="38"/>
      <x:c r="G790" s="38"/>
      <x:c r="H790" s="38"/>
      <x:c r="I790" s="38"/>
      <x:c r="J790" s="38"/>
      <x:c r="K790" s="38"/>
      <x:c r="L790" s="38"/>
      <x:c r="M790" s="38"/>
      <x:c r="N790" s="38"/>
      <x:c r="O790" s="38"/>
      <x:c r="P790" s="38"/>
      <x:c r="Q790" s="38"/>
      <x:c r="R790" s="38"/>
      <x:c r="S790" s="38"/>
      <x:c r="T790" s="38"/>
      <x:c r="U790" s="38"/>
      <x:c r="V790" s="38"/>
      <x:c r="W790" s="38"/>
      <x:c r="X790" s="38"/>
      <x:c r="Y790" s="38"/>
      <x:c r="Z790" s="38"/>
    </x:row>
    <x:row r="791">
      <x:c r="A791" s="38"/>
      <x:c r="B791" s="38"/>
      <x:c r="C791" s="38"/>
      <x:c r="D791" s="38"/>
      <x:c r="E791" s="38"/>
      <x:c r="F791" s="38"/>
      <x:c r="G791" s="38"/>
      <x:c r="H791" s="38"/>
      <x:c r="I791" s="38"/>
      <x:c r="J791" s="38"/>
      <x:c r="K791" s="38"/>
      <x:c r="L791" s="38"/>
      <x:c r="M791" s="38"/>
      <x:c r="N791" s="38"/>
      <x:c r="O791" s="38"/>
      <x:c r="P791" s="38"/>
      <x:c r="Q791" s="38"/>
      <x:c r="R791" s="38"/>
      <x:c r="S791" s="38"/>
      <x:c r="T791" s="38"/>
      <x:c r="U791" s="38"/>
      <x:c r="V791" s="38"/>
      <x:c r="W791" s="38"/>
      <x:c r="X791" s="38"/>
      <x:c r="Y791" s="38"/>
      <x:c r="Z791" s="38"/>
    </x:row>
    <x:row r="792">
      <x:c r="A792" s="38"/>
      <x:c r="B792" s="38"/>
      <x:c r="C792" s="38"/>
      <x:c r="D792" s="38"/>
      <x:c r="E792" s="38"/>
      <x:c r="F792" s="38"/>
      <x:c r="G792" s="38"/>
      <x:c r="H792" s="38"/>
      <x:c r="I792" s="38"/>
      <x:c r="J792" s="38"/>
      <x:c r="K792" s="38"/>
      <x:c r="L792" s="38"/>
      <x:c r="M792" s="38"/>
      <x:c r="N792" s="38"/>
      <x:c r="O792" s="38"/>
      <x:c r="P792" s="38"/>
      <x:c r="Q792" s="38"/>
      <x:c r="R792" s="38"/>
      <x:c r="S792" s="38"/>
      <x:c r="T792" s="38"/>
      <x:c r="U792" s="38"/>
      <x:c r="V792" s="38"/>
      <x:c r="W792" s="38"/>
      <x:c r="X792" s="38"/>
      <x:c r="Y792" s="38"/>
      <x:c r="Z792" s="38"/>
    </x:row>
    <x:row r="793">
      <x:c r="A793" s="38"/>
      <x:c r="B793" s="38"/>
      <x:c r="C793" s="38"/>
      <x:c r="D793" s="38"/>
      <x:c r="E793" s="38"/>
      <x:c r="F793" s="38"/>
      <x:c r="G793" s="38"/>
      <x:c r="H793" s="38"/>
      <x:c r="I793" s="38"/>
      <x:c r="J793" s="38"/>
      <x:c r="K793" s="38"/>
      <x:c r="L793" s="38"/>
      <x:c r="M793" s="38"/>
      <x:c r="N793" s="38"/>
      <x:c r="O793" s="38"/>
      <x:c r="P793" s="38"/>
      <x:c r="Q793" s="38"/>
      <x:c r="R793" s="38"/>
      <x:c r="S793" s="38"/>
      <x:c r="T793" s="38"/>
      <x:c r="U793" s="38"/>
      <x:c r="V793" s="38"/>
      <x:c r="W793" s="38"/>
      <x:c r="X793" s="38"/>
      <x:c r="Y793" s="38"/>
      <x:c r="Z793" s="38"/>
    </x:row>
    <x:row r="794">
      <x:c r="A794" s="38"/>
      <x:c r="B794" s="38"/>
      <x:c r="C794" s="38"/>
      <x:c r="D794" s="38"/>
      <x:c r="E794" s="38"/>
      <x:c r="F794" s="38"/>
      <x:c r="G794" s="38"/>
      <x:c r="H794" s="38"/>
      <x:c r="I794" s="38"/>
      <x:c r="J794" s="38"/>
      <x:c r="K794" s="38"/>
      <x:c r="L794" s="38"/>
      <x:c r="M794" s="38"/>
      <x:c r="N794" s="38"/>
      <x:c r="O794" s="38"/>
      <x:c r="P794" s="38"/>
      <x:c r="Q794" s="38"/>
      <x:c r="R794" s="38"/>
      <x:c r="S794" s="38"/>
      <x:c r="T794" s="38"/>
      <x:c r="U794" s="38"/>
      <x:c r="V794" s="38"/>
      <x:c r="W794" s="38"/>
      <x:c r="X794" s="38"/>
      <x:c r="Y794" s="38"/>
      <x:c r="Z794" s="38"/>
    </x:row>
    <x:row r="795">
      <x:c r="A795" s="38"/>
      <x:c r="B795" s="38"/>
      <x:c r="C795" s="38"/>
      <x:c r="D795" s="38"/>
      <x:c r="E795" s="38"/>
      <x:c r="F795" s="38"/>
      <x:c r="G795" s="38"/>
      <x:c r="H795" s="38"/>
      <x:c r="I795" s="38"/>
      <x:c r="J795" s="38"/>
      <x:c r="K795" s="38"/>
      <x:c r="L795" s="38"/>
      <x:c r="M795" s="38"/>
      <x:c r="N795" s="38"/>
      <x:c r="O795" s="38"/>
      <x:c r="P795" s="38"/>
      <x:c r="Q795" s="38"/>
      <x:c r="R795" s="38"/>
      <x:c r="S795" s="38"/>
      <x:c r="T795" s="38"/>
      <x:c r="U795" s="38"/>
      <x:c r="V795" s="38"/>
      <x:c r="W795" s="38"/>
      <x:c r="X795" s="38"/>
      <x:c r="Y795" s="38"/>
      <x:c r="Z795" s="38"/>
    </x:row>
    <x:row r="796">
      <x:c r="A796" s="38"/>
      <x:c r="B796" s="38"/>
      <x:c r="C796" s="38"/>
      <x:c r="D796" s="38"/>
      <x:c r="E796" s="38"/>
      <x:c r="F796" s="38"/>
      <x:c r="G796" s="38"/>
      <x:c r="H796" s="38"/>
      <x:c r="I796" s="38"/>
      <x:c r="J796" s="38"/>
      <x:c r="K796" s="38"/>
      <x:c r="L796" s="38"/>
      <x:c r="M796" s="38"/>
      <x:c r="N796" s="38"/>
      <x:c r="O796" s="38"/>
      <x:c r="P796" s="38"/>
      <x:c r="Q796" s="38"/>
      <x:c r="R796" s="38"/>
      <x:c r="S796" s="38"/>
      <x:c r="T796" s="38"/>
      <x:c r="U796" s="38"/>
      <x:c r="V796" s="38"/>
      <x:c r="W796" s="38"/>
      <x:c r="X796" s="38"/>
      <x:c r="Y796" s="38"/>
      <x:c r="Z796" s="38"/>
    </x:row>
    <x:row r="797">
      <x:c r="A797" s="38"/>
      <x:c r="B797" s="38"/>
      <x:c r="C797" s="38"/>
      <x:c r="D797" s="38"/>
      <x:c r="E797" s="38"/>
      <x:c r="F797" s="38"/>
      <x:c r="G797" s="38"/>
      <x:c r="H797" s="38"/>
      <x:c r="I797" s="38"/>
      <x:c r="J797" s="38"/>
      <x:c r="K797" s="38"/>
      <x:c r="L797" s="38"/>
      <x:c r="M797" s="38"/>
      <x:c r="N797" s="38"/>
      <x:c r="O797" s="38"/>
      <x:c r="P797" s="38"/>
      <x:c r="Q797" s="38"/>
      <x:c r="R797" s="38"/>
      <x:c r="S797" s="38"/>
      <x:c r="T797" s="38"/>
      <x:c r="U797" s="38"/>
      <x:c r="V797" s="38"/>
      <x:c r="W797" s="38"/>
      <x:c r="X797" s="38"/>
      <x:c r="Y797" s="38"/>
      <x:c r="Z797" s="38"/>
    </x:row>
    <x:row r="798">
      <x:c r="A798" s="38"/>
      <x:c r="B798" s="38"/>
      <x:c r="C798" s="38"/>
      <x:c r="D798" s="38"/>
      <x:c r="E798" s="38"/>
      <x:c r="F798" s="38"/>
      <x:c r="G798" s="38"/>
      <x:c r="H798" s="38"/>
      <x:c r="I798" s="38"/>
      <x:c r="J798" s="38"/>
      <x:c r="K798" s="38"/>
      <x:c r="L798" s="38"/>
      <x:c r="M798" s="38"/>
      <x:c r="N798" s="38"/>
      <x:c r="O798" s="38"/>
      <x:c r="P798" s="38"/>
      <x:c r="Q798" s="38"/>
      <x:c r="R798" s="38"/>
      <x:c r="S798" s="38"/>
      <x:c r="T798" s="38"/>
      <x:c r="U798" s="38"/>
      <x:c r="V798" s="38"/>
      <x:c r="W798" s="38"/>
      <x:c r="X798" s="38"/>
      <x:c r="Y798" s="38"/>
      <x:c r="Z798" s="38"/>
    </x:row>
    <x:row r="799">
      <x:c r="A799" s="38"/>
      <x:c r="B799" s="38"/>
      <x:c r="C799" s="38"/>
      <x:c r="D799" s="38"/>
      <x:c r="E799" s="38"/>
      <x:c r="F799" s="38"/>
      <x:c r="G799" s="38"/>
      <x:c r="H799" s="38"/>
      <x:c r="I799" s="38"/>
      <x:c r="J799" s="38"/>
      <x:c r="K799" s="38"/>
      <x:c r="L799" s="38"/>
      <x:c r="M799" s="38"/>
      <x:c r="N799" s="38"/>
      <x:c r="O799" s="38"/>
      <x:c r="P799" s="38"/>
      <x:c r="Q799" s="38"/>
      <x:c r="R799" s="38"/>
      <x:c r="S799" s="38"/>
      <x:c r="T799" s="38"/>
      <x:c r="U799" s="38"/>
      <x:c r="V799" s="38"/>
      <x:c r="W799" s="38"/>
      <x:c r="X799" s="38"/>
      <x:c r="Y799" s="38"/>
      <x:c r="Z799" s="38"/>
    </x:row>
    <x:row r="800">
      <x:c r="A800" s="38"/>
      <x:c r="B800" s="38"/>
      <x:c r="C800" s="38"/>
      <x:c r="D800" s="38"/>
      <x:c r="E800" s="38"/>
      <x:c r="F800" s="38"/>
      <x:c r="G800" s="38"/>
      <x:c r="H800" s="38"/>
      <x:c r="I800" s="38"/>
      <x:c r="J800" s="38"/>
      <x:c r="K800" s="38"/>
      <x:c r="L800" s="38"/>
      <x:c r="M800" s="38"/>
      <x:c r="N800" s="38"/>
      <x:c r="O800" s="38"/>
      <x:c r="P800" s="38"/>
      <x:c r="Q800" s="38"/>
      <x:c r="R800" s="38"/>
      <x:c r="S800" s="38"/>
      <x:c r="T800" s="38"/>
      <x:c r="U800" s="38"/>
      <x:c r="V800" s="38"/>
      <x:c r="W800" s="38"/>
      <x:c r="X800" s="38"/>
      <x:c r="Y800" s="38"/>
      <x:c r="Z800" s="38"/>
    </x:row>
    <x:row r="801">
      <x:c r="A801" s="38"/>
      <x:c r="B801" s="38"/>
      <x:c r="C801" s="38"/>
      <x:c r="D801" s="38"/>
      <x:c r="E801" s="38"/>
      <x:c r="F801" s="38"/>
      <x:c r="G801" s="38"/>
      <x:c r="H801" s="38"/>
      <x:c r="I801" s="38"/>
      <x:c r="J801" s="38"/>
      <x:c r="K801" s="38"/>
      <x:c r="L801" s="38"/>
      <x:c r="M801" s="38"/>
      <x:c r="N801" s="38"/>
      <x:c r="O801" s="38"/>
      <x:c r="P801" s="38"/>
      <x:c r="Q801" s="38"/>
      <x:c r="R801" s="38"/>
      <x:c r="S801" s="38"/>
      <x:c r="T801" s="38"/>
      <x:c r="U801" s="38"/>
      <x:c r="V801" s="38"/>
      <x:c r="W801" s="38"/>
      <x:c r="X801" s="38"/>
      <x:c r="Y801" s="38"/>
      <x:c r="Z801" s="38"/>
    </x:row>
    <x:row r="802">
      <x:c r="A802" s="38"/>
      <x:c r="B802" s="38"/>
      <x:c r="C802" s="38"/>
      <x:c r="D802" s="38"/>
      <x:c r="E802" s="38"/>
      <x:c r="F802" s="38"/>
      <x:c r="G802" s="38"/>
      <x:c r="H802" s="38"/>
      <x:c r="I802" s="38"/>
      <x:c r="J802" s="38"/>
      <x:c r="K802" s="38"/>
      <x:c r="L802" s="38"/>
      <x:c r="M802" s="38"/>
      <x:c r="N802" s="38"/>
      <x:c r="O802" s="38"/>
      <x:c r="P802" s="38"/>
      <x:c r="Q802" s="38"/>
      <x:c r="R802" s="38"/>
      <x:c r="S802" s="38"/>
      <x:c r="T802" s="38"/>
      <x:c r="U802" s="38"/>
      <x:c r="V802" s="38"/>
      <x:c r="W802" s="38"/>
      <x:c r="X802" s="38"/>
      <x:c r="Y802" s="38"/>
      <x:c r="Z802" s="38"/>
    </x:row>
    <x:row r="803">
      <x:c r="A803" s="38"/>
      <x:c r="B803" s="38"/>
      <x:c r="C803" s="38"/>
      <x:c r="D803" s="38"/>
      <x:c r="E803" s="38"/>
      <x:c r="F803" s="38"/>
      <x:c r="G803" s="38"/>
      <x:c r="H803" s="38"/>
      <x:c r="I803" s="38"/>
      <x:c r="J803" s="38"/>
      <x:c r="K803" s="38"/>
      <x:c r="L803" s="38"/>
      <x:c r="M803" s="38"/>
      <x:c r="N803" s="38"/>
      <x:c r="O803" s="38"/>
      <x:c r="P803" s="38"/>
      <x:c r="Q803" s="38"/>
      <x:c r="R803" s="38"/>
      <x:c r="S803" s="38"/>
      <x:c r="T803" s="38"/>
      <x:c r="U803" s="38"/>
      <x:c r="V803" s="38"/>
      <x:c r="W803" s="38"/>
      <x:c r="X803" s="38"/>
      <x:c r="Y803" s="38"/>
      <x:c r="Z803" s="38"/>
    </x:row>
    <x:row r="804">
      <x:c r="A804" s="38"/>
      <x:c r="B804" s="38"/>
      <x:c r="C804" s="38"/>
      <x:c r="D804" s="38"/>
      <x:c r="E804" s="38"/>
      <x:c r="F804" s="38"/>
      <x:c r="G804" s="38"/>
      <x:c r="H804" s="38"/>
      <x:c r="I804" s="38"/>
      <x:c r="J804" s="38"/>
      <x:c r="K804" s="38"/>
      <x:c r="L804" s="38"/>
      <x:c r="M804" s="38"/>
      <x:c r="N804" s="38"/>
      <x:c r="O804" s="38"/>
      <x:c r="P804" s="38"/>
      <x:c r="Q804" s="38"/>
      <x:c r="R804" s="38"/>
      <x:c r="S804" s="38"/>
      <x:c r="T804" s="38"/>
      <x:c r="U804" s="38"/>
      <x:c r="V804" s="38"/>
      <x:c r="W804" s="38"/>
      <x:c r="X804" s="38"/>
      <x:c r="Y804" s="38"/>
      <x:c r="Z804" s="38"/>
    </x:row>
    <x:row r="805">
      <x:c r="A805" s="38"/>
      <x:c r="B805" s="38"/>
      <x:c r="C805" s="38"/>
      <x:c r="D805" s="38"/>
      <x:c r="E805" s="38"/>
      <x:c r="F805" s="38"/>
      <x:c r="G805" s="38"/>
      <x:c r="H805" s="38"/>
      <x:c r="I805" s="38"/>
      <x:c r="J805" s="38"/>
      <x:c r="K805" s="38"/>
      <x:c r="L805" s="38"/>
      <x:c r="M805" s="38"/>
      <x:c r="N805" s="38"/>
      <x:c r="O805" s="38"/>
      <x:c r="P805" s="38"/>
      <x:c r="Q805" s="38"/>
      <x:c r="R805" s="38"/>
      <x:c r="S805" s="38"/>
      <x:c r="T805" s="38"/>
      <x:c r="U805" s="38"/>
      <x:c r="V805" s="38"/>
      <x:c r="W805" s="38"/>
      <x:c r="X805" s="38"/>
      <x:c r="Y805" s="38"/>
      <x:c r="Z805" s="38"/>
    </x:row>
    <x:row r="806">
      <x:c r="A806" s="38"/>
      <x:c r="B806" s="38"/>
      <x:c r="C806" s="38"/>
      <x:c r="D806" s="38"/>
      <x:c r="E806" s="38"/>
      <x:c r="F806" s="38"/>
      <x:c r="G806" s="38"/>
      <x:c r="H806" s="38"/>
      <x:c r="I806" s="38"/>
      <x:c r="J806" s="38"/>
      <x:c r="K806" s="38"/>
      <x:c r="L806" s="38"/>
      <x:c r="M806" s="38"/>
      <x:c r="N806" s="38"/>
      <x:c r="O806" s="38"/>
      <x:c r="P806" s="38"/>
      <x:c r="Q806" s="38"/>
      <x:c r="R806" s="38"/>
      <x:c r="S806" s="38"/>
      <x:c r="T806" s="38"/>
      <x:c r="U806" s="38"/>
      <x:c r="V806" s="38"/>
      <x:c r="W806" s="38"/>
      <x:c r="X806" s="38"/>
      <x:c r="Y806" s="38"/>
      <x:c r="Z806" s="38"/>
    </x:row>
    <x:row r="807">
      <x:c r="A807" s="38"/>
      <x:c r="B807" s="38"/>
      <x:c r="C807" s="38"/>
      <x:c r="D807" s="38"/>
      <x:c r="E807" s="38"/>
      <x:c r="F807" s="38"/>
      <x:c r="G807" s="38"/>
      <x:c r="H807" s="38"/>
      <x:c r="I807" s="38"/>
      <x:c r="J807" s="38"/>
      <x:c r="K807" s="38"/>
      <x:c r="L807" s="38"/>
      <x:c r="M807" s="38"/>
      <x:c r="N807" s="38"/>
      <x:c r="O807" s="38"/>
      <x:c r="P807" s="38"/>
      <x:c r="Q807" s="38"/>
      <x:c r="R807" s="38"/>
      <x:c r="S807" s="38"/>
      <x:c r="T807" s="38"/>
      <x:c r="U807" s="38"/>
      <x:c r="V807" s="38"/>
      <x:c r="W807" s="38"/>
      <x:c r="X807" s="38"/>
      <x:c r="Y807" s="38"/>
      <x:c r="Z807" s="38"/>
    </x:row>
    <x:row r="808">
      <x:c r="A808" s="38"/>
      <x:c r="B808" s="38"/>
      <x:c r="C808" s="38"/>
      <x:c r="D808" s="38"/>
      <x:c r="E808" s="38"/>
      <x:c r="F808" s="38"/>
      <x:c r="G808" s="38"/>
      <x:c r="H808" s="38"/>
      <x:c r="I808" s="38"/>
      <x:c r="J808" s="38"/>
      <x:c r="K808" s="38"/>
      <x:c r="L808" s="38"/>
      <x:c r="M808" s="38"/>
      <x:c r="N808" s="38"/>
      <x:c r="O808" s="38"/>
      <x:c r="P808" s="38"/>
      <x:c r="Q808" s="38"/>
      <x:c r="R808" s="38"/>
      <x:c r="S808" s="38"/>
      <x:c r="T808" s="38"/>
      <x:c r="U808" s="38"/>
      <x:c r="V808" s="38"/>
      <x:c r="W808" s="38"/>
      <x:c r="X808" s="38"/>
      <x:c r="Y808" s="38"/>
      <x:c r="Z808" s="38"/>
    </x:row>
    <x:row r="809">
      <x:c r="A809" s="38"/>
      <x:c r="B809" s="38"/>
      <x:c r="C809" s="38"/>
      <x:c r="D809" s="38"/>
      <x:c r="E809" s="38"/>
      <x:c r="F809" s="38"/>
      <x:c r="G809" s="38"/>
      <x:c r="H809" s="38"/>
      <x:c r="I809" s="38"/>
      <x:c r="J809" s="38"/>
      <x:c r="K809" s="38"/>
      <x:c r="L809" s="38"/>
      <x:c r="M809" s="38"/>
      <x:c r="N809" s="38"/>
      <x:c r="O809" s="38"/>
      <x:c r="P809" s="38"/>
      <x:c r="Q809" s="38"/>
      <x:c r="R809" s="38"/>
      <x:c r="S809" s="38"/>
      <x:c r="T809" s="38"/>
      <x:c r="U809" s="38"/>
      <x:c r="V809" s="38"/>
      <x:c r="W809" s="38"/>
      <x:c r="X809" s="38"/>
      <x:c r="Y809" s="38"/>
      <x:c r="Z809" s="38"/>
    </x:row>
    <x:row r="810">
      <x:c r="A810" s="38"/>
      <x:c r="B810" s="38"/>
      <x:c r="C810" s="38"/>
      <x:c r="D810" s="38"/>
      <x:c r="E810" s="38"/>
      <x:c r="F810" s="38"/>
      <x:c r="G810" s="38"/>
      <x:c r="H810" s="38"/>
      <x:c r="I810" s="38"/>
      <x:c r="J810" s="38"/>
      <x:c r="K810" s="38"/>
      <x:c r="L810" s="38"/>
      <x:c r="M810" s="38"/>
      <x:c r="N810" s="38"/>
      <x:c r="O810" s="38"/>
      <x:c r="P810" s="38"/>
      <x:c r="Q810" s="38"/>
      <x:c r="R810" s="38"/>
      <x:c r="S810" s="38"/>
      <x:c r="T810" s="38"/>
      <x:c r="U810" s="38"/>
      <x:c r="V810" s="38"/>
      <x:c r="W810" s="38"/>
      <x:c r="X810" s="38"/>
      <x:c r="Y810" s="38"/>
      <x:c r="Z810" s="38"/>
    </x:row>
    <x:row r="811">
      <x:c r="A811" s="38"/>
      <x:c r="B811" s="38"/>
      <x:c r="C811" s="38"/>
      <x:c r="D811" s="38"/>
      <x:c r="E811" s="38"/>
      <x:c r="F811" s="38"/>
      <x:c r="G811" s="38"/>
      <x:c r="H811" s="38"/>
      <x:c r="I811" s="38"/>
      <x:c r="J811" s="38"/>
      <x:c r="K811" s="38"/>
      <x:c r="L811" s="38"/>
      <x:c r="M811" s="38"/>
      <x:c r="N811" s="38"/>
      <x:c r="O811" s="38"/>
      <x:c r="P811" s="38"/>
      <x:c r="Q811" s="38"/>
      <x:c r="R811" s="38"/>
      <x:c r="S811" s="38"/>
      <x:c r="T811" s="38"/>
      <x:c r="U811" s="38"/>
      <x:c r="V811" s="38"/>
      <x:c r="W811" s="38"/>
      <x:c r="X811" s="38"/>
      <x:c r="Y811" s="38"/>
      <x:c r="Z811" s="38"/>
    </x:row>
    <x:row r="812">
      <x:c r="A812" s="38"/>
      <x:c r="B812" s="38"/>
      <x:c r="C812" s="38"/>
      <x:c r="D812" s="38"/>
      <x:c r="E812" s="38"/>
      <x:c r="F812" s="38"/>
      <x:c r="G812" s="38"/>
      <x:c r="H812" s="38"/>
      <x:c r="I812" s="38"/>
      <x:c r="J812" s="38"/>
      <x:c r="K812" s="38"/>
      <x:c r="L812" s="38"/>
      <x:c r="M812" s="38"/>
      <x:c r="N812" s="38"/>
      <x:c r="O812" s="38"/>
      <x:c r="P812" s="38"/>
      <x:c r="Q812" s="38"/>
      <x:c r="R812" s="38"/>
      <x:c r="S812" s="38"/>
      <x:c r="T812" s="38"/>
      <x:c r="U812" s="38"/>
      <x:c r="V812" s="38"/>
      <x:c r="W812" s="38"/>
      <x:c r="X812" s="38"/>
      <x:c r="Y812" s="38"/>
      <x:c r="Z812" s="38"/>
    </x:row>
    <x:row r="813">
      <x:c r="A813" s="38"/>
      <x:c r="B813" s="38"/>
      <x:c r="C813" s="38"/>
      <x:c r="D813" s="38"/>
      <x:c r="E813" s="38"/>
      <x:c r="F813" s="38"/>
      <x:c r="G813" s="38"/>
      <x:c r="H813" s="38"/>
      <x:c r="I813" s="38"/>
      <x:c r="J813" s="38"/>
      <x:c r="K813" s="38"/>
      <x:c r="L813" s="38"/>
      <x:c r="M813" s="38"/>
      <x:c r="N813" s="38"/>
      <x:c r="O813" s="38"/>
      <x:c r="P813" s="38"/>
      <x:c r="Q813" s="38"/>
      <x:c r="R813" s="38"/>
      <x:c r="S813" s="38"/>
      <x:c r="T813" s="38"/>
      <x:c r="U813" s="38"/>
      <x:c r="V813" s="38"/>
      <x:c r="W813" s="38"/>
      <x:c r="X813" s="38"/>
      <x:c r="Y813" s="38"/>
      <x:c r="Z813" s="38"/>
    </x:row>
    <x:row r="814">
      <x:c r="A814" s="38"/>
      <x:c r="B814" s="38"/>
      <x:c r="C814" s="38"/>
      <x:c r="D814" s="38"/>
      <x:c r="E814" s="38"/>
      <x:c r="F814" s="38"/>
      <x:c r="G814" s="38"/>
      <x:c r="H814" s="38"/>
      <x:c r="I814" s="38"/>
      <x:c r="J814" s="38"/>
      <x:c r="K814" s="38"/>
      <x:c r="L814" s="38"/>
      <x:c r="M814" s="38"/>
      <x:c r="N814" s="38"/>
      <x:c r="O814" s="38"/>
      <x:c r="P814" s="38"/>
      <x:c r="Q814" s="38"/>
      <x:c r="R814" s="38"/>
      <x:c r="S814" s="38"/>
      <x:c r="T814" s="38"/>
      <x:c r="U814" s="38"/>
      <x:c r="V814" s="38"/>
      <x:c r="W814" s="38"/>
      <x:c r="X814" s="38"/>
      <x:c r="Y814" s="38"/>
      <x:c r="Z814" s="38"/>
    </x:row>
    <x:row r="815">
      <x:c r="A815" s="38"/>
      <x:c r="B815" s="38"/>
      <x:c r="C815" s="38"/>
      <x:c r="D815" s="38"/>
      <x:c r="E815" s="38"/>
      <x:c r="F815" s="38"/>
      <x:c r="G815" s="38"/>
      <x:c r="H815" s="38"/>
      <x:c r="I815" s="38"/>
      <x:c r="J815" s="38"/>
      <x:c r="K815" s="38"/>
      <x:c r="L815" s="38"/>
      <x:c r="M815" s="38"/>
      <x:c r="N815" s="38"/>
      <x:c r="O815" s="38"/>
      <x:c r="P815" s="38"/>
      <x:c r="Q815" s="38"/>
      <x:c r="R815" s="38"/>
      <x:c r="S815" s="38"/>
      <x:c r="T815" s="38"/>
      <x:c r="U815" s="38"/>
      <x:c r="V815" s="38"/>
      <x:c r="W815" s="38"/>
      <x:c r="X815" s="38"/>
      <x:c r="Y815" s="38"/>
      <x:c r="Z815" s="38"/>
    </x:row>
    <x:row r="816">
      <x:c r="A816" s="38"/>
      <x:c r="B816" s="38"/>
      <x:c r="C816" s="38"/>
      <x:c r="D816" s="38"/>
      <x:c r="E816" s="38"/>
      <x:c r="F816" s="38"/>
      <x:c r="G816" s="38"/>
      <x:c r="H816" s="38"/>
      <x:c r="I816" s="38"/>
      <x:c r="J816" s="38"/>
      <x:c r="K816" s="38"/>
      <x:c r="L816" s="38"/>
      <x:c r="M816" s="38"/>
      <x:c r="N816" s="38"/>
      <x:c r="O816" s="38"/>
      <x:c r="P816" s="38"/>
      <x:c r="Q816" s="38"/>
      <x:c r="R816" s="38"/>
      <x:c r="S816" s="38"/>
      <x:c r="T816" s="38"/>
      <x:c r="U816" s="38"/>
      <x:c r="V816" s="38"/>
      <x:c r="W816" s="38"/>
      <x:c r="X816" s="38"/>
      <x:c r="Y816" s="38"/>
      <x:c r="Z816" s="38"/>
    </x:row>
    <x:row r="817">
      <x:c r="A817" s="38"/>
      <x:c r="B817" s="38"/>
      <x:c r="C817" s="38"/>
      <x:c r="D817" s="38"/>
      <x:c r="E817" s="38"/>
      <x:c r="F817" s="38"/>
      <x:c r="G817" s="38"/>
      <x:c r="H817" s="38"/>
      <x:c r="I817" s="38"/>
      <x:c r="J817" s="38"/>
      <x:c r="K817" s="38"/>
      <x:c r="L817" s="38"/>
      <x:c r="M817" s="38"/>
      <x:c r="N817" s="38"/>
      <x:c r="O817" s="38"/>
      <x:c r="P817" s="38"/>
      <x:c r="Q817" s="38"/>
      <x:c r="R817" s="38"/>
      <x:c r="S817" s="38"/>
      <x:c r="T817" s="38"/>
      <x:c r="U817" s="38"/>
      <x:c r="V817" s="38"/>
      <x:c r="W817" s="38"/>
      <x:c r="X817" s="38"/>
      <x:c r="Y817" s="38"/>
      <x:c r="Z817" s="38"/>
    </x:row>
    <x:row r="818">
      <x:c r="A818" s="38"/>
      <x:c r="B818" s="38"/>
      <x:c r="C818" s="38"/>
      <x:c r="D818" s="38"/>
      <x:c r="E818" s="38"/>
      <x:c r="F818" s="38"/>
      <x:c r="G818" s="38"/>
      <x:c r="H818" s="38"/>
      <x:c r="I818" s="38"/>
      <x:c r="J818" s="38"/>
      <x:c r="K818" s="38"/>
      <x:c r="L818" s="38"/>
      <x:c r="M818" s="38"/>
      <x:c r="N818" s="38"/>
      <x:c r="O818" s="38"/>
      <x:c r="P818" s="38"/>
      <x:c r="Q818" s="38"/>
      <x:c r="R818" s="38"/>
      <x:c r="S818" s="38"/>
      <x:c r="T818" s="38"/>
      <x:c r="U818" s="38"/>
      <x:c r="V818" s="38"/>
      <x:c r="W818" s="38"/>
      <x:c r="X818" s="38"/>
      <x:c r="Y818" s="38"/>
      <x:c r="Z818" s="38"/>
    </x:row>
    <x:row r="819">
      <x:c r="A819" s="38"/>
      <x:c r="B819" s="38"/>
      <x:c r="C819" s="38"/>
      <x:c r="D819" s="38"/>
      <x:c r="E819" s="38"/>
      <x:c r="F819" s="38"/>
      <x:c r="G819" s="38"/>
      <x:c r="H819" s="38"/>
      <x:c r="I819" s="38"/>
      <x:c r="J819" s="38"/>
      <x:c r="K819" s="38"/>
      <x:c r="L819" s="38"/>
      <x:c r="M819" s="38"/>
      <x:c r="N819" s="38"/>
      <x:c r="O819" s="38"/>
      <x:c r="P819" s="38"/>
      <x:c r="Q819" s="38"/>
      <x:c r="R819" s="38"/>
      <x:c r="S819" s="38"/>
      <x:c r="T819" s="38"/>
      <x:c r="U819" s="38"/>
      <x:c r="V819" s="38"/>
      <x:c r="W819" s="38"/>
      <x:c r="X819" s="38"/>
      <x:c r="Y819" s="38"/>
      <x:c r="Z819" s="38"/>
    </x:row>
    <x:row r="820">
      <x:c r="A820" s="38"/>
      <x:c r="B820" s="38"/>
      <x:c r="C820" s="38"/>
      <x:c r="D820" s="38"/>
      <x:c r="E820" s="38"/>
      <x:c r="F820" s="38"/>
      <x:c r="G820" s="38"/>
      <x:c r="H820" s="38"/>
      <x:c r="I820" s="38"/>
      <x:c r="J820" s="38"/>
      <x:c r="K820" s="38"/>
      <x:c r="L820" s="38"/>
      <x:c r="M820" s="38"/>
      <x:c r="N820" s="38"/>
      <x:c r="O820" s="38"/>
      <x:c r="P820" s="38"/>
      <x:c r="Q820" s="38"/>
      <x:c r="R820" s="38"/>
      <x:c r="S820" s="38"/>
      <x:c r="T820" s="38"/>
      <x:c r="U820" s="38"/>
      <x:c r="V820" s="38"/>
      <x:c r="W820" s="38"/>
      <x:c r="X820" s="38"/>
      <x:c r="Y820" s="38"/>
      <x:c r="Z820" s="38"/>
    </x:row>
    <x:row r="821">
      <x:c r="A821" s="38"/>
      <x:c r="B821" s="38"/>
      <x:c r="C821" s="38"/>
      <x:c r="D821" s="38"/>
      <x:c r="E821" s="38"/>
      <x:c r="F821" s="38"/>
      <x:c r="G821" s="38"/>
      <x:c r="H821" s="38"/>
      <x:c r="I821" s="38"/>
      <x:c r="J821" s="38"/>
      <x:c r="K821" s="38"/>
      <x:c r="L821" s="38"/>
      <x:c r="M821" s="38"/>
      <x:c r="N821" s="38"/>
      <x:c r="O821" s="38"/>
      <x:c r="P821" s="38"/>
      <x:c r="Q821" s="38"/>
      <x:c r="R821" s="38"/>
      <x:c r="S821" s="38"/>
      <x:c r="T821" s="38"/>
      <x:c r="U821" s="38"/>
      <x:c r="V821" s="38"/>
      <x:c r="W821" s="38"/>
      <x:c r="X821" s="38"/>
      <x:c r="Y821" s="38"/>
      <x:c r="Z821" s="38"/>
    </x:row>
    <x:row r="822">
      <x:c r="A822" s="38"/>
      <x:c r="B822" s="38"/>
      <x:c r="C822" s="38"/>
      <x:c r="D822" s="38"/>
      <x:c r="E822" s="38"/>
      <x:c r="F822" s="38"/>
      <x:c r="G822" s="38"/>
      <x:c r="H822" s="38"/>
      <x:c r="I822" s="38"/>
      <x:c r="J822" s="38"/>
      <x:c r="K822" s="38"/>
      <x:c r="L822" s="38"/>
      <x:c r="M822" s="38"/>
      <x:c r="N822" s="38"/>
      <x:c r="O822" s="38"/>
      <x:c r="P822" s="38"/>
      <x:c r="Q822" s="38"/>
      <x:c r="R822" s="38"/>
      <x:c r="S822" s="38"/>
      <x:c r="T822" s="38"/>
      <x:c r="U822" s="38"/>
      <x:c r="V822" s="38"/>
      <x:c r="W822" s="38"/>
      <x:c r="X822" s="38"/>
      <x:c r="Y822" s="38"/>
      <x:c r="Z822" s="38"/>
    </x:row>
    <x:row r="823">
      <x:c r="A823" s="38"/>
      <x:c r="B823" s="38"/>
      <x:c r="C823" s="38"/>
      <x:c r="D823" s="38"/>
      <x:c r="E823" s="38"/>
      <x:c r="F823" s="38"/>
      <x:c r="G823" s="38"/>
      <x:c r="H823" s="38"/>
      <x:c r="I823" s="38"/>
      <x:c r="J823" s="38"/>
      <x:c r="K823" s="38"/>
      <x:c r="L823" s="38"/>
      <x:c r="M823" s="38"/>
      <x:c r="N823" s="38"/>
      <x:c r="O823" s="38"/>
      <x:c r="P823" s="38"/>
      <x:c r="Q823" s="38"/>
      <x:c r="R823" s="38"/>
      <x:c r="S823" s="38"/>
      <x:c r="T823" s="38"/>
      <x:c r="U823" s="38"/>
      <x:c r="V823" s="38"/>
      <x:c r="W823" s="38"/>
      <x:c r="X823" s="38"/>
      <x:c r="Y823" s="38"/>
      <x:c r="Z823" s="38"/>
    </x:row>
    <x:row r="824">
      <x:c r="A824" s="38"/>
      <x:c r="B824" s="38"/>
      <x:c r="C824" s="38"/>
      <x:c r="D824" s="38"/>
      <x:c r="E824" s="38"/>
      <x:c r="F824" s="38"/>
      <x:c r="G824" s="38"/>
      <x:c r="H824" s="38"/>
      <x:c r="I824" s="38"/>
      <x:c r="J824" s="38"/>
      <x:c r="K824" s="38"/>
      <x:c r="L824" s="38"/>
      <x:c r="M824" s="38"/>
      <x:c r="N824" s="38"/>
      <x:c r="O824" s="38"/>
      <x:c r="P824" s="38"/>
      <x:c r="Q824" s="38"/>
      <x:c r="R824" s="38"/>
      <x:c r="S824" s="38"/>
      <x:c r="T824" s="38"/>
      <x:c r="U824" s="38"/>
      <x:c r="V824" s="38"/>
      <x:c r="W824" s="38"/>
      <x:c r="X824" s="38"/>
      <x:c r="Y824" s="38"/>
      <x:c r="Z824" s="38"/>
    </x:row>
    <x:row r="825">
      <x:c r="A825" s="38"/>
      <x:c r="B825" s="38"/>
      <x:c r="C825" s="38"/>
      <x:c r="D825" s="38"/>
      <x:c r="E825" s="38"/>
      <x:c r="F825" s="38"/>
      <x:c r="G825" s="38"/>
      <x:c r="H825" s="38"/>
      <x:c r="I825" s="38"/>
      <x:c r="J825" s="38"/>
      <x:c r="K825" s="38"/>
      <x:c r="L825" s="38"/>
      <x:c r="M825" s="38"/>
      <x:c r="N825" s="38"/>
      <x:c r="O825" s="38"/>
      <x:c r="P825" s="38"/>
      <x:c r="Q825" s="38"/>
      <x:c r="R825" s="38"/>
      <x:c r="S825" s="38"/>
      <x:c r="T825" s="38"/>
      <x:c r="U825" s="38"/>
      <x:c r="V825" s="38"/>
      <x:c r="W825" s="38"/>
      <x:c r="X825" s="38"/>
      <x:c r="Y825" s="38"/>
      <x:c r="Z825" s="38"/>
    </x:row>
    <x:row r="826">
      <x:c r="A826" s="38"/>
      <x:c r="B826" s="38"/>
      <x:c r="C826" s="38"/>
      <x:c r="D826" s="38"/>
      <x:c r="E826" s="38"/>
      <x:c r="F826" s="38"/>
      <x:c r="G826" s="38"/>
      <x:c r="H826" s="38"/>
      <x:c r="I826" s="38"/>
      <x:c r="J826" s="38"/>
      <x:c r="K826" s="38"/>
      <x:c r="L826" s="38"/>
      <x:c r="M826" s="38"/>
      <x:c r="N826" s="38"/>
      <x:c r="O826" s="38"/>
      <x:c r="P826" s="38"/>
      <x:c r="Q826" s="38"/>
      <x:c r="R826" s="38"/>
      <x:c r="S826" s="38"/>
      <x:c r="T826" s="38"/>
      <x:c r="U826" s="38"/>
      <x:c r="V826" s="38"/>
      <x:c r="W826" s="38"/>
      <x:c r="X826" s="38"/>
      <x:c r="Y826" s="38"/>
      <x:c r="Z826" s="38"/>
    </x:row>
    <x:row r="827">
      <x:c r="A827" s="38"/>
      <x:c r="B827" s="38"/>
      <x:c r="C827" s="38"/>
      <x:c r="D827" s="38"/>
      <x:c r="E827" s="38"/>
      <x:c r="F827" s="38"/>
      <x:c r="G827" s="38"/>
      <x:c r="H827" s="38"/>
      <x:c r="I827" s="38"/>
      <x:c r="J827" s="38"/>
      <x:c r="K827" s="38"/>
      <x:c r="L827" s="38"/>
      <x:c r="M827" s="38"/>
      <x:c r="N827" s="38"/>
      <x:c r="O827" s="38"/>
      <x:c r="P827" s="38"/>
      <x:c r="Q827" s="38"/>
      <x:c r="R827" s="38"/>
      <x:c r="S827" s="38"/>
      <x:c r="T827" s="38"/>
      <x:c r="U827" s="38"/>
      <x:c r="V827" s="38"/>
      <x:c r="W827" s="38"/>
      <x:c r="X827" s="38"/>
      <x:c r="Y827" s="38"/>
      <x:c r="Z827" s="38"/>
    </x:row>
    <x:row r="828">
      <x:c r="A828" s="38"/>
      <x:c r="B828" s="38"/>
      <x:c r="C828" s="38"/>
      <x:c r="D828" s="38"/>
      <x:c r="E828" s="38"/>
      <x:c r="F828" s="38"/>
      <x:c r="G828" s="38"/>
      <x:c r="H828" s="38"/>
      <x:c r="I828" s="38"/>
      <x:c r="J828" s="38"/>
      <x:c r="K828" s="38"/>
      <x:c r="L828" s="38"/>
      <x:c r="M828" s="38"/>
      <x:c r="N828" s="38"/>
      <x:c r="O828" s="38"/>
      <x:c r="P828" s="38"/>
      <x:c r="Q828" s="38"/>
      <x:c r="R828" s="38"/>
      <x:c r="S828" s="38"/>
      <x:c r="T828" s="38"/>
      <x:c r="U828" s="38"/>
      <x:c r="V828" s="38"/>
      <x:c r="W828" s="38"/>
      <x:c r="X828" s="38"/>
      <x:c r="Y828" s="38"/>
      <x:c r="Z828" s="38"/>
    </x:row>
    <x:row r="829">
      <x:c r="A829" s="38"/>
      <x:c r="B829" s="38"/>
      <x:c r="C829" s="38"/>
      <x:c r="D829" s="38"/>
      <x:c r="E829" s="38"/>
      <x:c r="F829" s="38"/>
      <x:c r="G829" s="38"/>
      <x:c r="H829" s="38"/>
      <x:c r="I829" s="38"/>
      <x:c r="J829" s="38"/>
      <x:c r="K829" s="38"/>
      <x:c r="L829" s="38"/>
      <x:c r="M829" s="38"/>
      <x:c r="N829" s="38"/>
      <x:c r="O829" s="38"/>
      <x:c r="P829" s="38"/>
      <x:c r="Q829" s="38"/>
      <x:c r="R829" s="38"/>
      <x:c r="S829" s="38"/>
      <x:c r="T829" s="38"/>
      <x:c r="U829" s="38"/>
      <x:c r="V829" s="38"/>
      <x:c r="W829" s="38"/>
      <x:c r="X829" s="38"/>
      <x:c r="Y829" s="38"/>
      <x:c r="Z829" s="38"/>
    </x:row>
    <x:row r="830">
      <x:c r="A830" s="38"/>
      <x:c r="B830" s="38"/>
      <x:c r="C830" s="38"/>
      <x:c r="D830" s="38"/>
      <x:c r="E830" s="38"/>
      <x:c r="F830" s="38"/>
      <x:c r="G830" s="38"/>
      <x:c r="H830" s="38"/>
      <x:c r="I830" s="38"/>
      <x:c r="J830" s="38"/>
      <x:c r="K830" s="38"/>
      <x:c r="L830" s="38"/>
      <x:c r="M830" s="38"/>
      <x:c r="N830" s="38"/>
      <x:c r="O830" s="38"/>
      <x:c r="P830" s="38"/>
      <x:c r="Q830" s="38"/>
      <x:c r="R830" s="38"/>
      <x:c r="S830" s="38"/>
      <x:c r="T830" s="38"/>
      <x:c r="U830" s="38"/>
      <x:c r="V830" s="38"/>
      <x:c r="W830" s="38"/>
      <x:c r="X830" s="38"/>
      <x:c r="Y830" s="38"/>
      <x:c r="Z830" s="38"/>
    </x:row>
    <x:row r="831">
      <x:c r="A831" s="38"/>
      <x:c r="B831" s="38"/>
      <x:c r="C831" s="38"/>
      <x:c r="D831" s="38"/>
      <x:c r="E831" s="38"/>
      <x:c r="F831" s="38"/>
      <x:c r="G831" s="38"/>
      <x:c r="H831" s="38"/>
      <x:c r="I831" s="38"/>
      <x:c r="J831" s="38"/>
      <x:c r="K831" s="38"/>
      <x:c r="L831" s="38"/>
      <x:c r="M831" s="38"/>
      <x:c r="N831" s="38"/>
      <x:c r="O831" s="38"/>
      <x:c r="P831" s="38"/>
      <x:c r="Q831" s="38"/>
      <x:c r="R831" s="38"/>
      <x:c r="S831" s="38"/>
      <x:c r="T831" s="38"/>
      <x:c r="U831" s="38"/>
      <x:c r="V831" s="38"/>
      <x:c r="W831" s="38"/>
      <x:c r="X831" s="38"/>
      <x:c r="Y831" s="38"/>
      <x:c r="Z831" s="38"/>
    </x:row>
    <x:row r="832">
      <x:c r="A832" s="38"/>
      <x:c r="B832" s="38"/>
      <x:c r="C832" s="38"/>
      <x:c r="D832" s="38"/>
      <x:c r="E832" s="38"/>
      <x:c r="F832" s="38"/>
      <x:c r="G832" s="38"/>
      <x:c r="H832" s="38"/>
      <x:c r="I832" s="38"/>
      <x:c r="J832" s="38"/>
      <x:c r="K832" s="38"/>
      <x:c r="L832" s="38"/>
      <x:c r="M832" s="38"/>
      <x:c r="N832" s="38"/>
      <x:c r="O832" s="38"/>
      <x:c r="P832" s="38"/>
      <x:c r="Q832" s="38"/>
      <x:c r="R832" s="38"/>
      <x:c r="S832" s="38"/>
      <x:c r="T832" s="38"/>
      <x:c r="U832" s="38"/>
      <x:c r="V832" s="38"/>
      <x:c r="W832" s="38"/>
      <x:c r="X832" s="38"/>
      <x:c r="Y832" s="38"/>
      <x:c r="Z832" s="38"/>
    </x:row>
    <x:row r="833">
      <x:c r="A833" s="38"/>
      <x:c r="B833" s="38"/>
      <x:c r="C833" s="38"/>
      <x:c r="D833" s="38"/>
      <x:c r="E833" s="38"/>
      <x:c r="F833" s="38"/>
      <x:c r="G833" s="38"/>
      <x:c r="H833" s="38"/>
      <x:c r="I833" s="38"/>
      <x:c r="J833" s="38"/>
      <x:c r="K833" s="38"/>
      <x:c r="L833" s="38"/>
      <x:c r="M833" s="38"/>
      <x:c r="N833" s="38"/>
      <x:c r="O833" s="38"/>
      <x:c r="P833" s="38"/>
      <x:c r="Q833" s="38"/>
      <x:c r="R833" s="38"/>
      <x:c r="S833" s="38"/>
      <x:c r="T833" s="38"/>
      <x:c r="U833" s="38"/>
      <x:c r="V833" s="38"/>
      <x:c r="W833" s="38"/>
      <x:c r="X833" s="38"/>
      <x:c r="Y833" s="38"/>
      <x:c r="Z833" s="38"/>
    </x:row>
    <x:row r="834">
      <x:c r="A834" s="38"/>
      <x:c r="B834" s="38"/>
      <x:c r="C834" s="38"/>
      <x:c r="D834" s="38"/>
      <x:c r="E834" s="38"/>
      <x:c r="F834" s="38"/>
      <x:c r="G834" s="38"/>
      <x:c r="H834" s="38"/>
      <x:c r="I834" s="38"/>
      <x:c r="J834" s="38"/>
      <x:c r="K834" s="38"/>
      <x:c r="L834" s="38"/>
      <x:c r="M834" s="38"/>
      <x:c r="N834" s="38"/>
      <x:c r="O834" s="38"/>
      <x:c r="P834" s="38"/>
      <x:c r="Q834" s="38"/>
      <x:c r="R834" s="38"/>
      <x:c r="S834" s="38"/>
      <x:c r="T834" s="38"/>
      <x:c r="U834" s="38"/>
      <x:c r="V834" s="38"/>
      <x:c r="W834" s="38"/>
      <x:c r="X834" s="38"/>
      <x:c r="Y834" s="38"/>
      <x:c r="Z834" s="38"/>
    </x:row>
    <x:row r="835">
      <x:c r="A835" s="38"/>
      <x:c r="B835" s="38"/>
      <x:c r="C835" s="38"/>
      <x:c r="D835" s="38"/>
      <x:c r="E835" s="38"/>
      <x:c r="F835" s="38"/>
      <x:c r="G835" s="38"/>
      <x:c r="H835" s="38"/>
      <x:c r="I835" s="38"/>
      <x:c r="J835" s="38"/>
      <x:c r="K835" s="38"/>
      <x:c r="L835" s="38"/>
      <x:c r="M835" s="38"/>
      <x:c r="N835" s="38"/>
      <x:c r="O835" s="38"/>
      <x:c r="P835" s="38"/>
      <x:c r="Q835" s="38"/>
      <x:c r="R835" s="38"/>
      <x:c r="S835" s="38"/>
      <x:c r="T835" s="38"/>
      <x:c r="U835" s="38"/>
      <x:c r="V835" s="38"/>
      <x:c r="W835" s="38"/>
      <x:c r="X835" s="38"/>
      <x:c r="Y835" s="38"/>
      <x:c r="Z835" s="38"/>
    </x:row>
    <x:row r="836">
      <x:c r="A836" s="38"/>
      <x:c r="B836" s="38"/>
      <x:c r="C836" s="38"/>
      <x:c r="D836" s="38"/>
      <x:c r="E836" s="38"/>
      <x:c r="F836" s="38"/>
      <x:c r="G836" s="38"/>
      <x:c r="H836" s="38"/>
      <x:c r="I836" s="38"/>
      <x:c r="J836" s="38"/>
      <x:c r="K836" s="38"/>
      <x:c r="L836" s="38"/>
      <x:c r="M836" s="38"/>
      <x:c r="N836" s="38"/>
      <x:c r="O836" s="38"/>
      <x:c r="P836" s="38"/>
      <x:c r="Q836" s="38"/>
      <x:c r="R836" s="38"/>
      <x:c r="S836" s="38"/>
      <x:c r="T836" s="38"/>
      <x:c r="U836" s="38"/>
      <x:c r="V836" s="38"/>
      <x:c r="W836" s="38"/>
      <x:c r="X836" s="38"/>
      <x:c r="Y836" s="38"/>
      <x:c r="Z836" s="38"/>
    </x:row>
    <x:row r="837">
      <x:c r="A837" s="38"/>
      <x:c r="B837" s="38"/>
      <x:c r="C837" s="38"/>
      <x:c r="D837" s="38"/>
      <x:c r="E837" s="38"/>
      <x:c r="F837" s="38"/>
      <x:c r="G837" s="38"/>
      <x:c r="H837" s="38"/>
      <x:c r="I837" s="38"/>
      <x:c r="J837" s="38"/>
      <x:c r="K837" s="38"/>
      <x:c r="L837" s="38"/>
      <x:c r="M837" s="38"/>
      <x:c r="N837" s="38"/>
      <x:c r="O837" s="38"/>
      <x:c r="P837" s="38"/>
      <x:c r="Q837" s="38"/>
      <x:c r="R837" s="38"/>
      <x:c r="S837" s="38"/>
      <x:c r="T837" s="38"/>
      <x:c r="U837" s="38"/>
      <x:c r="V837" s="38"/>
      <x:c r="W837" s="38"/>
      <x:c r="X837" s="38"/>
      <x:c r="Y837" s="38"/>
      <x:c r="Z837" s="38"/>
    </x:row>
    <x:row r="838">
      <x:c r="A838" s="38"/>
      <x:c r="B838" s="38"/>
      <x:c r="C838" s="38"/>
      <x:c r="D838" s="38"/>
      <x:c r="E838" s="38"/>
      <x:c r="F838" s="38"/>
      <x:c r="G838" s="38"/>
      <x:c r="H838" s="38"/>
      <x:c r="I838" s="38"/>
      <x:c r="J838" s="38"/>
      <x:c r="K838" s="38"/>
      <x:c r="L838" s="38"/>
      <x:c r="M838" s="38"/>
      <x:c r="N838" s="38"/>
      <x:c r="O838" s="38"/>
      <x:c r="P838" s="38"/>
      <x:c r="Q838" s="38"/>
      <x:c r="R838" s="38"/>
      <x:c r="S838" s="38"/>
      <x:c r="T838" s="38"/>
      <x:c r="U838" s="38"/>
      <x:c r="V838" s="38"/>
      <x:c r="W838" s="38"/>
      <x:c r="X838" s="38"/>
      <x:c r="Y838" s="38"/>
      <x:c r="Z838" s="38"/>
    </x:row>
    <x:row r="839">
      <x:c r="A839" s="38"/>
      <x:c r="B839" s="38"/>
      <x:c r="C839" s="38"/>
      <x:c r="D839" s="38"/>
      <x:c r="E839" s="38"/>
      <x:c r="F839" s="38"/>
      <x:c r="G839" s="38"/>
      <x:c r="H839" s="38"/>
      <x:c r="I839" s="38"/>
      <x:c r="J839" s="38"/>
      <x:c r="K839" s="38"/>
      <x:c r="L839" s="38"/>
      <x:c r="M839" s="38"/>
      <x:c r="N839" s="38"/>
      <x:c r="O839" s="38"/>
      <x:c r="P839" s="38"/>
      <x:c r="Q839" s="38"/>
      <x:c r="R839" s="38"/>
      <x:c r="S839" s="38"/>
      <x:c r="T839" s="38"/>
      <x:c r="U839" s="38"/>
      <x:c r="V839" s="38"/>
      <x:c r="W839" s="38"/>
      <x:c r="X839" s="38"/>
      <x:c r="Y839" s="38"/>
      <x:c r="Z839" s="38"/>
    </x:row>
    <x:row r="840">
      <x:c r="A840" s="38"/>
      <x:c r="B840" s="38"/>
      <x:c r="C840" s="38"/>
      <x:c r="D840" s="38"/>
      <x:c r="E840" s="38"/>
      <x:c r="F840" s="38"/>
      <x:c r="G840" s="38"/>
      <x:c r="H840" s="38"/>
      <x:c r="I840" s="38"/>
      <x:c r="J840" s="38"/>
      <x:c r="K840" s="38"/>
      <x:c r="L840" s="38"/>
      <x:c r="M840" s="38"/>
      <x:c r="N840" s="38"/>
      <x:c r="O840" s="38"/>
      <x:c r="P840" s="38"/>
      <x:c r="Q840" s="38"/>
      <x:c r="R840" s="38"/>
      <x:c r="S840" s="38"/>
      <x:c r="T840" s="38"/>
      <x:c r="U840" s="38"/>
      <x:c r="V840" s="38"/>
      <x:c r="W840" s="38"/>
      <x:c r="X840" s="38"/>
      <x:c r="Y840" s="38"/>
      <x:c r="Z840" s="38"/>
    </x:row>
    <x:row r="841">
      <x:c r="A841" s="38"/>
      <x:c r="B841" s="38"/>
      <x:c r="C841" s="38"/>
      <x:c r="D841" s="38"/>
      <x:c r="E841" s="38"/>
      <x:c r="F841" s="38"/>
      <x:c r="G841" s="38"/>
      <x:c r="H841" s="38"/>
      <x:c r="I841" s="38"/>
      <x:c r="J841" s="38"/>
      <x:c r="K841" s="38"/>
      <x:c r="L841" s="38"/>
      <x:c r="M841" s="38"/>
      <x:c r="N841" s="38"/>
      <x:c r="O841" s="38"/>
      <x:c r="P841" s="38"/>
      <x:c r="Q841" s="38"/>
      <x:c r="R841" s="38"/>
      <x:c r="S841" s="38"/>
      <x:c r="T841" s="38"/>
      <x:c r="U841" s="38"/>
      <x:c r="V841" s="38"/>
      <x:c r="W841" s="38"/>
      <x:c r="X841" s="38"/>
      <x:c r="Y841" s="38"/>
      <x:c r="Z841" s="38"/>
    </x:row>
    <x:row r="842">
      <x:c r="A842" s="38"/>
      <x:c r="B842" s="38"/>
      <x:c r="C842" s="38"/>
      <x:c r="D842" s="38"/>
      <x:c r="E842" s="38"/>
      <x:c r="F842" s="38"/>
      <x:c r="G842" s="38"/>
      <x:c r="H842" s="38"/>
      <x:c r="I842" s="38"/>
      <x:c r="J842" s="38"/>
      <x:c r="K842" s="38"/>
      <x:c r="L842" s="38"/>
      <x:c r="M842" s="38"/>
      <x:c r="N842" s="38"/>
      <x:c r="O842" s="38"/>
      <x:c r="P842" s="38"/>
      <x:c r="Q842" s="38"/>
      <x:c r="R842" s="38"/>
      <x:c r="S842" s="38"/>
      <x:c r="T842" s="38"/>
      <x:c r="U842" s="38"/>
      <x:c r="V842" s="38"/>
      <x:c r="W842" s="38"/>
      <x:c r="X842" s="38"/>
      <x:c r="Y842" s="38"/>
      <x:c r="Z842" s="38"/>
    </x:row>
    <x:row r="843">
      <x:c r="A843" s="38"/>
      <x:c r="B843" s="38"/>
      <x:c r="C843" s="38"/>
      <x:c r="D843" s="38"/>
      <x:c r="E843" s="38"/>
      <x:c r="F843" s="38"/>
      <x:c r="G843" s="38"/>
      <x:c r="H843" s="38"/>
      <x:c r="I843" s="38"/>
      <x:c r="J843" s="38"/>
      <x:c r="K843" s="38"/>
      <x:c r="L843" s="38"/>
      <x:c r="M843" s="38"/>
      <x:c r="N843" s="38"/>
      <x:c r="O843" s="38"/>
      <x:c r="P843" s="38"/>
      <x:c r="Q843" s="38"/>
      <x:c r="R843" s="38"/>
      <x:c r="S843" s="38"/>
      <x:c r="T843" s="38"/>
      <x:c r="U843" s="38"/>
      <x:c r="V843" s="38"/>
      <x:c r="W843" s="38"/>
      <x:c r="X843" s="38"/>
      <x:c r="Y843" s="38"/>
      <x:c r="Z843" s="38"/>
    </x:row>
    <x:row r="844">
      <x:c r="A844" s="38"/>
      <x:c r="B844" s="38"/>
      <x:c r="C844" s="38"/>
      <x:c r="D844" s="38"/>
      <x:c r="E844" s="38"/>
      <x:c r="F844" s="38"/>
      <x:c r="G844" s="38"/>
      <x:c r="H844" s="38"/>
      <x:c r="I844" s="38"/>
      <x:c r="J844" s="38"/>
      <x:c r="K844" s="38"/>
      <x:c r="L844" s="38"/>
      <x:c r="M844" s="38"/>
      <x:c r="N844" s="38"/>
      <x:c r="O844" s="38"/>
      <x:c r="P844" s="38"/>
      <x:c r="Q844" s="38"/>
      <x:c r="R844" s="38"/>
      <x:c r="S844" s="38"/>
      <x:c r="T844" s="38"/>
      <x:c r="U844" s="38"/>
      <x:c r="V844" s="38"/>
      <x:c r="W844" s="38"/>
      <x:c r="X844" s="38"/>
      <x:c r="Y844" s="38"/>
      <x:c r="Z844" s="38"/>
    </x:row>
    <x:row r="845">
      <x:c r="A845" s="38"/>
      <x:c r="B845" s="38"/>
      <x:c r="C845" s="38"/>
      <x:c r="D845" s="38"/>
      <x:c r="E845" s="38"/>
      <x:c r="F845" s="38"/>
      <x:c r="G845" s="38"/>
      <x:c r="H845" s="38"/>
      <x:c r="I845" s="38"/>
      <x:c r="J845" s="38"/>
      <x:c r="K845" s="38"/>
      <x:c r="L845" s="38"/>
      <x:c r="M845" s="38"/>
      <x:c r="N845" s="38"/>
      <x:c r="O845" s="38"/>
      <x:c r="P845" s="38"/>
      <x:c r="Q845" s="38"/>
      <x:c r="R845" s="38"/>
      <x:c r="S845" s="38"/>
      <x:c r="T845" s="38"/>
      <x:c r="U845" s="38"/>
      <x:c r="V845" s="38"/>
      <x:c r="W845" s="38"/>
      <x:c r="X845" s="38"/>
      <x:c r="Y845" s="38"/>
      <x:c r="Z845" s="38"/>
    </x:row>
    <x:row r="846">
      <x:c r="A846" s="38"/>
      <x:c r="B846" s="38"/>
      <x:c r="C846" s="38"/>
      <x:c r="D846" s="38"/>
      <x:c r="E846" s="38"/>
      <x:c r="F846" s="38"/>
      <x:c r="G846" s="38"/>
      <x:c r="H846" s="38"/>
      <x:c r="I846" s="38"/>
      <x:c r="J846" s="38"/>
      <x:c r="K846" s="38"/>
      <x:c r="L846" s="38"/>
      <x:c r="M846" s="38"/>
      <x:c r="N846" s="38"/>
      <x:c r="O846" s="38"/>
      <x:c r="P846" s="38"/>
      <x:c r="Q846" s="38"/>
      <x:c r="R846" s="38"/>
      <x:c r="S846" s="38"/>
      <x:c r="T846" s="38"/>
      <x:c r="U846" s="38"/>
      <x:c r="V846" s="38"/>
      <x:c r="W846" s="38"/>
      <x:c r="X846" s="38"/>
      <x:c r="Y846" s="38"/>
      <x:c r="Z846" s="38"/>
    </x:row>
    <x:row r="847">
      <x:c r="A847" s="38"/>
      <x:c r="B847" s="38"/>
      <x:c r="C847" s="38"/>
      <x:c r="D847" s="38"/>
      <x:c r="E847" s="38"/>
      <x:c r="F847" s="38"/>
      <x:c r="G847" s="38"/>
      <x:c r="H847" s="38"/>
      <x:c r="I847" s="38"/>
      <x:c r="J847" s="38"/>
      <x:c r="K847" s="38"/>
      <x:c r="L847" s="38"/>
      <x:c r="M847" s="38"/>
      <x:c r="N847" s="38"/>
      <x:c r="O847" s="38"/>
      <x:c r="P847" s="38"/>
      <x:c r="Q847" s="38"/>
      <x:c r="R847" s="38"/>
      <x:c r="S847" s="38"/>
      <x:c r="T847" s="38"/>
      <x:c r="U847" s="38"/>
      <x:c r="V847" s="38"/>
      <x:c r="W847" s="38"/>
      <x:c r="X847" s="38"/>
      <x:c r="Y847" s="38"/>
      <x:c r="Z847" s="38"/>
    </x:row>
    <x:row r="848">
      <x:c r="A848" s="38"/>
      <x:c r="B848" s="38"/>
      <x:c r="C848" s="38"/>
      <x:c r="D848" s="38"/>
      <x:c r="E848" s="38"/>
      <x:c r="F848" s="38"/>
      <x:c r="G848" s="38"/>
      <x:c r="H848" s="38"/>
      <x:c r="I848" s="38"/>
      <x:c r="J848" s="38"/>
      <x:c r="K848" s="38"/>
      <x:c r="L848" s="38"/>
      <x:c r="M848" s="38"/>
      <x:c r="N848" s="38"/>
      <x:c r="O848" s="38"/>
      <x:c r="P848" s="38"/>
      <x:c r="Q848" s="38"/>
      <x:c r="R848" s="38"/>
      <x:c r="S848" s="38"/>
      <x:c r="T848" s="38"/>
      <x:c r="U848" s="38"/>
      <x:c r="V848" s="38"/>
      <x:c r="W848" s="38"/>
      <x:c r="X848" s="38"/>
      <x:c r="Y848" s="38"/>
      <x:c r="Z848" s="38"/>
    </x:row>
    <x:row r="849">
      <x:c r="A849" s="38"/>
      <x:c r="B849" s="38"/>
      <x:c r="C849" s="38"/>
      <x:c r="D849" s="38"/>
      <x:c r="E849" s="38"/>
      <x:c r="F849" s="38"/>
      <x:c r="G849" s="38"/>
      <x:c r="H849" s="38"/>
      <x:c r="I849" s="38"/>
      <x:c r="J849" s="38"/>
      <x:c r="K849" s="38"/>
      <x:c r="L849" s="38"/>
      <x:c r="M849" s="38"/>
      <x:c r="N849" s="38"/>
      <x:c r="O849" s="38"/>
      <x:c r="P849" s="38"/>
      <x:c r="Q849" s="38"/>
      <x:c r="R849" s="38"/>
      <x:c r="S849" s="38"/>
      <x:c r="T849" s="38"/>
      <x:c r="U849" s="38"/>
      <x:c r="V849" s="38"/>
      <x:c r="W849" s="38"/>
      <x:c r="X849" s="38"/>
      <x:c r="Y849" s="38"/>
      <x:c r="Z849" s="38"/>
    </x:row>
    <x:row r="850">
      <x:c r="A850" s="38"/>
      <x:c r="B850" s="38"/>
      <x:c r="C850" s="38"/>
      <x:c r="D850" s="38"/>
      <x:c r="E850" s="38"/>
      <x:c r="F850" s="38"/>
      <x:c r="G850" s="38"/>
      <x:c r="H850" s="38"/>
      <x:c r="I850" s="38"/>
      <x:c r="J850" s="38"/>
      <x:c r="K850" s="38"/>
      <x:c r="L850" s="38"/>
      <x:c r="M850" s="38"/>
      <x:c r="N850" s="38"/>
      <x:c r="O850" s="38"/>
      <x:c r="P850" s="38"/>
      <x:c r="Q850" s="38"/>
      <x:c r="R850" s="38"/>
      <x:c r="S850" s="38"/>
      <x:c r="T850" s="38"/>
      <x:c r="U850" s="38"/>
      <x:c r="V850" s="38"/>
      <x:c r="W850" s="38"/>
      <x:c r="X850" s="38"/>
      <x:c r="Y850" s="38"/>
      <x:c r="Z850" s="38"/>
    </x:row>
    <x:row r="851">
      <x:c r="A851" s="38"/>
      <x:c r="B851" s="38"/>
      <x:c r="C851" s="38"/>
      <x:c r="D851" s="38"/>
      <x:c r="E851" s="38"/>
      <x:c r="F851" s="38"/>
      <x:c r="G851" s="38"/>
      <x:c r="H851" s="38"/>
      <x:c r="I851" s="38"/>
      <x:c r="J851" s="38"/>
      <x:c r="K851" s="38"/>
      <x:c r="L851" s="38"/>
      <x:c r="M851" s="38"/>
      <x:c r="N851" s="38"/>
      <x:c r="O851" s="38"/>
      <x:c r="P851" s="38"/>
      <x:c r="Q851" s="38"/>
      <x:c r="R851" s="38"/>
      <x:c r="S851" s="38"/>
      <x:c r="T851" s="38"/>
      <x:c r="U851" s="38"/>
      <x:c r="V851" s="38"/>
      <x:c r="W851" s="38"/>
      <x:c r="X851" s="38"/>
      <x:c r="Y851" s="38"/>
      <x:c r="Z851" s="38"/>
    </x:row>
    <x:row r="852">
      <x:c r="A852" s="38"/>
      <x:c r="B852" s="38"/>
      <x:c r="C852" s="38"/>
      <x:c r="D852" s="38"/>
      <x:c r="E852" s="38"/>
      <x:c r="F852" s="38"/>
      <x:c r="G852" s="38"/>
      <x:c r="H852" s="38"/>
      <x:c r="I852" s="38"/>
      <x:c r="J852" s="38"/>
      <x:c r="K852" s="38"/>
      <x:c r="L852" s="38"/>
      <x:c r="M852" s="38"/>
      <x:c r="N852" s="38"/>
      <x:c r="O852" s="38"/>
      <x:c r="P852" s="38"/>
      <x:c r="Q852" s="38"/>
      <x:c r="R852" s="38"/>
      <x:c r="S852" s="38"/>
      <x:c r="T852" s="38"/>
      <x:c r="U852" s="38"/>
      <x:c r="V852" s="38"/>
      <x:c r="W852" s="38"/>
      <x:c r="X852" s="38"/>
      <x:c r="Y852" s="38"/>
      <x:c r="Z852" s="38"/>
    </x:row>
    <x:row r="853">
      <x:c r="A853" s="38"/>
      <x:c r="B853" s="38"/>
      <x:c r="C853" s="38"/>
      <x:c r="D853" s="38"/>
      <x:c r="E853" s="38"/>
      <x:c r="F853" s="38"/>
      <x:c r="G853" s="38"/>
      <x:c r="H853" s="38"/>
      <x:c r="I853" s="38"/>
      <x:c r="J853" s="38"/>
      <x:c r="K853" s="38"/>
      <x:c r="L853" s="38"/>
      <x:c r="M853" s="38"/>
      <x:c r="N853" s="38"/>
      <x:c r="O853" s="38"/>
      <x:c r="P853" s="38"/>
      <x:c r="Q853" s="38"/>
      <x:c r="R853" s="38"/>
      <x:c r="S853" s="38"/>
      <x:c r="T853" s="38"/>
      <x:c r="U853" s="38"/>
      <x:c r="V853" s="38"/>
      <x:c r="W853" s="38"/>
      <x:c r="X853" s="38"/>
      <x:c r="Y853" s="38"/>
      <x:c r="Z853" s="38"/>
    </x:row>
    <x:row r="854">
      <x:c r="A854" s="38"/>
      <x:c r="B854" s="38"/>
      <x:c r="C854" s="38"/>
      <x:c r="D854" s="38"/>
      <x:c r="E854" s="38"/>
      <x:c r="F854" s="38"/>
      <x:c r="G854" s="38"/>
      <x:c r="H854" s="38"/>
      <x:c r="I854" s="38"/>
      <x:c r="J854" s="38"/>
      <x:c r="K854" s="38"/>
      <x:c r="L854" s="38"/>
      <x:c r="M854" s="38"/>
      <x:c r="N854" s="38"/>
      <x:c r="O854" s="38"/>
      <x:c r="P854" s="38"/>
      <x:c r="Q854" s="38"/>
      <x:c r="R854" s="38"/>
      <x:c r="S854" s="38"/>
      <x:c r="T854" s="38"/>
      <x:c r="U854" s="38"/>
      <x:c r="V854" s="38"/>
      <x:c r="W854" s="38"/>
      <x:c r="X854" s="38"/>
      <x:c r="Y854" s="38"/>
      <x:c r="Z854" s="38"/>
    </x:row>
    <x:row r="855">
      <x:c r="A855" s="38"/>
      <x:c r="B855" s="38"/>
      <x:c r="C855" s="38"/>
      <x:c r="D855" s="38"/>
      <x:c r="E855" s="38"/>
      <x:c r="F855" s="38"/>
      <x:c r="G855" s="38"/>
      <x:c r="H855" s="38"/>
      <x:c r="I855" s="38"/>
      <x:c r="J855" s="38"/>
      <x:c r="K855" s="38"/>
      <x:c r="L855" s="38"/>
      <x:c r="M855" s="38"/>
      <x:c r="N855" s="38"/>
      <x:c r="O855" s="38"/>
      <x:c r="P855" s="38"/>
      <x:c r="Q855" s="38"/>
      <x:c r="R855" s="38"/>
      <x:c r="S855" s="38"/>
      <x:c r="T855" s="38"/>
      <x:c r="U855" s="38"/>
      <x:c r="V855" s="38"/>
      <x:c r="W855" s="38"/>
      <x:c r="X855" s="38"/>
      <x:c r="Y855" s="38"/>
      <x:c r="Z855" s="38"/>
    </x:row>
    <x:row r="856">
      <x:c r="A856" s="38"/>
      <x:c r="B856" s="38"/>
      <x:c r="C856" s="38"/>
      <x:c r="D856" s="38"/>
      <x:c r="E856" s="38"/>
      <x:c r="F856" s="38"/>
      <x:c r="G856" s="38"/>
      <x:c r="H856" s="38"/>
      <x:c r="I856" s="38"/>
      <x:c r="J856" s="38"/>
      <x:c r="K856" s="38"/>
      <x:c r="L856" s="38"/>
      <x:c r="M856" s="38"/>
      <x:c r="N856" s="38"/>
      <x:c r="O856" s="38"/>
      <x:c r="P856" s="38"/>
      <x:c r="Q856" s="38"/>
      <x:c r="R856" s="38"/>
      <x:c r="S856" s="38"/>
      <x:c r="T856" s="38"/>
      <x:c r="U856" s="38"/>
      <x:c r="V856" s="38"/>
      <x:c r="W856" s="38"/>
      <x:c r="X856" s="38"/>
      <x:c r="Y856" s="38"/>
      <x:c r="Z856" s="38"/>
    </x:row>
    <x:row r="857">
      <x:c r="A857" s="38"/>
      <x:c r="B857" s="38"/>
      <x:c r="C857" s="38"/>
      <x:c r="D857" s="38"/>
      <x:c r="E857" s="38"/>
      <x:c r="F857" s="38"/>
      <x:c r="G857" s="38"/>
      <x:c r="H857" s="38"/>
      <x:c r="I857" s="38"/>
      <x:c r="J857" s="38"/>
      <x:c r="K857" s="38"/>
      <x:c r="L857" s="38"/>
      <x:c r="M857" s="38"/>
      <x:c r="N857" s="38"/>
      <x:c r="O857" s="38"/>
      <x:c r="P857" s="38"/>
      <x:c r="Q857" s="38"/>
      <x:c r="R857" s="38"/>
      <x:c r="S857" s="38"/>
      <x:c r="T857" s="38"/>
      <x:c r="U857" s="38"/>
      <x:c r="V857" s="38"/>
      <x:c r="W857" s="38"/>
      <x:c r="X857" s="38"/>
      <x:c r="Y857" s="38"/>
      <x:c r="Z857" s="38"/>
    </x:row>
    <x:row r="858">
      <x:c r="A858" s="38"/>
      <x:c r="B858" s="38"/>
      <x:c r="C858" s="38"/>
      <x:c r="D858" s="38"/>
      <x:c r="E858" s="38"/>
      <x:c r="F858" s="38"/>
      <x:c r="G858" s="38"/>
      <x:c r="H858" s="38"/>
      <x:c r="I858" s="38"/>
      <x:c r="J858" s="38"/>
      <x:c r="K858" s="38"/>
      <x:c r="L858" s="38"/>
      <x:c r="M858" s="38"/>
      <x:c r="N858" s="38"/>
      <x:c r="O858" s="38"/>
      <x:c r="P858" s="38"/>
      <x:c r="Q858" s="38"/>
      <x:c r="R858" s="38"/>
      <x:c r="S858" s="38"/>
      <x:c r="T858" s="38"/>
      <x:c r="U858" s="38"/>
      <x:c r="V858" s="38"/>
      <x:c r="W858" s="38"/>
      <x:c r="X858" s="38"/>
      <x:c r="Y858" s="38"/>
      <x:c r="Z858" s="38"/>
    </x:row>
    <x:row r="859">
      <x:c r="A859" s="38"/>
      <x:c r="B859" s="38"/>
      <x:c r="C859" s="38"/>
      <x:c r="D859" s="38"/>
      <x:c r="E859" s="38"/>
      <x:c r="F859" s="38"/>
      <x:c r="G859" s="38"/>
      <x:c r="H859" s="38"/>
      <x:c r="I859" s="38"/>
      <x:c r="J859" s="38"/>
      <x:c r="K859" s="38"/>
      <x:c r="L859" s="38"/>
      <x:c r="M859" s="38"/>
      <x:c r="N859" s="38"/>
      <x:c r="O859" s="38"/>
      <x:c r="P859" s="38"/>
      <x:c r="Q859" s="38"/>
      <x:c r="R859" s="38"/>
      <x:c r="S859" s="38"/>
      <x:c r="T859" s="38"/>
      <x:c r="U859" s="38"/>
      <x:c r="V859" s="38"/>
      <x:c r="W859" s="38"/>
      <x:c r="X859" s="38"/>
      <x:c r="Y859" s="38"/>
      <x:c r="Z859" s="38"/>
    </x:row>
    <x:row r="860">
      <x:c r="A860" s="38"/>
      <x:c r="B860" s="38"/>
      <x:c r="C860" s="38"/>
      <x:c r="D860" s="38"/>
      <x:c r="E860" s="38"/>
      <x:c r="F860" s="38"/>
      <x:c r="G860" s="38"/>
      <x:c r="H860" s="38"/>
      <x:c r="I860" s="38"/>
      <x:c r="J860" s="38"/>
      <x:c r="K860" s="38"/>
      <x:c r="L860" s="38"/>
      <x:c r="M860" s="38"/>
      <x:c r="N860" s="38"/>
      <x:c r="O860" s="38"/>
      <x:c r="P860" s="38"/>
      <x:c r="Q860" s="38"/>
      <x:c r="R860" s="38"/>
      <x:c r="S860" s="38"/>
      <x:c r="T860" s="38"/>
      <x:c r="U860" s="38"/>
      <x:c r="V860" s="38"/>
      <x:c r="W860" s="38"/>
      <x:c r="X860" s="38"/>
      <x:c r="Y860" s="38"/>
      <x:c r="Z860" s="38"/>
    </x:row>
    <x:row r="861">
      <x:c r="A861" s="38"/>
      <x:c r="B861" s="38"/>
      <x:c r="C861" s="38"/>
      <x:c r="D861" s="38"/>
      <x:c r="E861" s="38"/>
      <x:c r="F861" s="38"/>
      <x:c r="G861" s="38"/>
      <x:c r="H861" s="38"/>
      <x:c r="I861" s="38"/>
      <x:c r="J861" s="38"/>
      <x:c r="K861" s="38"/>
      <x:c r="L861" s="38"/>
      <x:c r="M861" s="38"/>
      <x:c r="N861" s="38"/>
      <x:c r="O861" s="38"/>
      <x:c r="P861" s="38"/>
      <x:c r="Q861" s="38"/>
      <x:c r="R861" s="38"/>
      <x:c r="S861" s="38"/>
      <x:c r="T861" s="38"/>
      <x:c r="U861" s="38"/>
      <x:c r="V861" s="38"/>
      <x:c r="W861" s="38"/>
      <x:c r="X861" s="38"/>
      <x:c r="Y861" s="38"/>
      <x:c r="Z861" s="38"/>
    </x:row>
    <x:row r="862">
      <x:c r="A862" s="38"/>
      <x:c r="B862" s="38"/>
      <x:c r="C862" s="38"/>
      <x:c r="D862" s="38"/>
      <x:c r="E862" s="38"/>
      <x:c r="F862" s="38"/>
      <x:c r="G862" s="38"/>
      <x:c r="H862" s="38"/>
      <x:c r="I862" s="38"/>
      <x:c r="J862" s="38"/>
      <x:c r="K862" s="38"/>
      <x:c r="L862" s="38"/>
      <x:c r="M862" s="38"/>
      <x:c r="N862" s="38"/>
      <x:c r="O862" s="38"/>
      <x:c r="P862" s="38"/>
      <x:c r="Q862" s="38"/>
      <x:c r="R862" s="38"/>
      <x:c r="S862" s="38"/>
      <x:c r="T862" s="38"/>
      <x:c r="U862" s="38"/>
      <x:c r="V862" s="38"/>
      <x:c r="W862" s="38"/>
      <x:c r="X862" s="38"/>
      <x:c r="Y862" s="38"/>
      <x:c r="Z862" s="38"/>
    </x:row>
    <x:row r="863">
      <x:c r="A863" s="38"/>
      <x:c r="B863" s="38"/>
      <x:c r="C863" s="38"/>
      <x:c r="D863" s="38"/>
      <x:c r="E863" s="38"/>
      <x:c r="F863" s="38"/>
      <x:c r="G863" s="38"/>
      <x:c r="H863" s="38"/>
      <x:c r="I863" s="38"/>
      <x:c r="J863" s="38"/>
      <x:c r="K863" s="38"/>
      <x:c r="L863" s="38"/>
      <x:c r="M863" s="38"/>
      <x:c r="N863" s="38"/>
      <x:c r="O863" s="38"/>
      <x:c r="P863" s="38"/>
      <x:c r="Q863" s="38"/>
      <x:c r="R863" s="38"/>
      <x:c r="S863" s="38"/>
      <x:c r="T863" s="38"/>
      <x:c r="U863" s="38"/>
      <x:c r="V863" s="38"/>
      <x:c r="W863" s="38"/>
      <x:c r="X863" s="38"/>
      <x:c r="Y863" s="38"/>
      <x:c r="Z863" s="38"/>
    </x:row>
    <x:row r="864">
      <x:c r="A864" s="38"/>
      <x:c r="B864" s="38"/>
      <x:c r="C864" s="38"/>
      <x:c r="D864" s="38"/>
      <x:c r="E864" s="38"/>
      <x:c r="F864" s="38"/>
      <x:c r="G864" s="38"/>
      <x:c r="H864" s="38"/>
      <x:c r="I864" s="38"/>
      <x:c r="J864" s="38"/>
      <x:c r="K864" s="38"/>
      <x:c r="L864" s="38"/>
      <x:c r="M864" s="38"/>
      <x:c r="N864" s="38"/>
      <x:c r="O864" s="38"/>
      <x:c r="P864" s="38"/>
      <x:c r="Q864" s="38"/>
      <x:c r="R864" s="38"/>
      <x:c r="S864" s="38"/>
      <x:c r="T864" s="38"/>
      <x:c r="U864" s="38"/>
      <x:c r="V864" s="38"/>
      <x:c r="W864" s="38"/>
      <x:c r="X864" s="38"/>
      <x:c r="Y864" s="38"/>
      <x:c r="Z864" s="38"/>
    </x:row>
    <x:row r="865">
      <x:c r="A865" s="38"/>
      <x:c r="B865" s="38"/>
      <x:c r="C865" s="38"/>
      <x:c r="D865" s="38"/>
      <x:c r="E865" s="38"/>
      <x:c r="F865" s="38"/>
      <x:c r="G865" s="38"/>
      <x:c r="H865" s="38"/>
      <x:c r="I865" s="38"/>
      <x:c r="J865" s="38"/>
      <x:c r="K865" s="38"/>
      <x:c r="L865" s="38"/>
      <x:c r="M865" s="38"/>
      <x:c r="N865" s="38"/>
      <x:c r="O865" s="38"/>
      <x:c r="P865" s="38"/>
      <x:c r="Q865" s="38"/>
      <x:c r="R865" s="38"/>
      <x:c r="S865" s="38"/>
      <x:c r="T865" s="38"/>
      <x:c r="U865" s="38"/>
      <x:c r="V865" s="38"/>
      <x:c r="W865" s="38"/>
      <x:c r="X865" s="38"/>
      <x:c r="Y865" s="38"/>
      <x:c r="Z865" s="38"/>
    </x:row>
    <x:row r="866">
      <x:c r="A866" s="38"/>
      <x:c r="B866" s="38"/>
      <x:c r="C866" s="38"/>
      <x:c r="D866" s="38"/>
      <x:c r="E866" s="38"/>
      <x:c r="F866" s="38"/>
      <x:c r="G866" s="38"/>
      <x:c r="H866" s="38"/>
      <x:c r="I866" s="38"/>
      <x:c r="J866" s="38"/>
      <x:c r="K866" s="38"/>
      <x:c r="L866" s="38"/>
      <x:c r="M866" s="38"/>
      <x:c r="N866" s="38"/>
      <x:c r="O866" s="38"/>
      <x:c r="P866" s="38"/>
      <x:c r="Q866" s="38"/>
      <x:c r="R866" s="38"/>
      <x:c r="S866" s="38"/>
      <x:c r="T866" s="38"/>
      <x:c r="U866" s="38"/>
      <x:c r="V866" s="38"/>
      <x:c r="W866" s="38"/>
      <x:c r="X866" s="38"/>
      <x:c r="Y866" s="38"/>
      <x:c r="Z866" s="38"/>
    </x:row>
    <x:row r="867">
      <x:c r="A867" s="38"/>
      <x:c r="B867" s="38"/>
      <x:c r="C867" s="38"/>
      <x:c r="D867" s="38"/>
      <x:c r="E867" s="38"/>
      <x:c r="F867" s="38"/>
      <x:c r="G867" s="38"/>
      <x:c r="H867" s="38"/>
      <x:c r="I867" s="38"/>
      <x:c r="J867" s="38"/>
      <x:c r="K867" s="38"/>
      <x:c r="L867" s="38"/>
      <x:c r="M867" s="38"/>
      <x:c r="N867" s="38"/>
      <x:c r="O867" s="38"/>
      <x:c r="P867" s="38"/>
      <x:c r="Q867" s="38"/>
      <x:c r="R867" s="38"/>
      <x:c r="S867" s="38"/>
      <x:c r="T867" s="38"/>
      <x:c r="U867" s="38"/>
      <x:c r="V867" s="38"/>
      <x:c r="W867" s="38"/>
      <x:c r="X867" s="38"/>
      <x:c r="Y867" s="38"/>
      <x:c r="Z867" s="38"/>
    </x:row>
    <x:row r="868">
      <x:c r="A868" s="38"/>
      <x:c r="B868" s="38"/>
      <x:c r="C868" s="38"/>
      <x:c r="D868" s="38"/>
      <x:c r="E868" s="38"/>
      <x:c r="F868" s="38"/>
      <x:c r="G868" s="38"/>
      <x:c r="H868" s="38"/>
      <x:c r="I868" s="38"/>
      <x:c r="J868" s="38"/>
      <x:c r="K868" s="38"/>
      <x:c r="L868" s="38"/>
      <x:c r="M868" s="38"/>
      <x:c r="N868" s="38"/>
      <x:c r="O868" s="38"/>
      <x:c r="P868" s="38"/>
      <x:c r="Q868" s="38"/>
      <x:c r="R868" s="38"/>
      <x:c r="S868" s="38"/>
      <x:c r="T868" s="38"/>
      <x:c r="U868" s="38"/>
      <x:c r="V868" s="38"/>
      <x:c r="W868" s="38"/>
      <x:c r="X868" s="38"/>
      <x:c r="Y868" s="38"/>
      <x:c r="Z868" s="38"/>
    </x:row>
    <x:row r="869">
      <x:c r="A869" s="38"/>
      <x:c r="B869" s="38"/>
      <x:c r="C869" s="38"/>
      <x:c r="D869" s="38"/>
      <x:c r="E869" s="38"/>
      <x:c r="F869" s="38"/>
      <x:c r="G869" s="38"/>
      <x:c r="H869" s="38"/>
      <x:c r="I869" s="38"/>
      <x:c r="J869" s="38"/>
      <x:c r="K869" s="38"/>
      <x:c r="L869" s="38"/>
      <x:c r="M869" s="38"/>
      <x:c r="N869" s="38"/>
      <x:c r="O869" s="38"/>
      <x:c r="P869" s="38"/>
      <x:c r="Q869" s="38"/>
      <x:c r="R869" s="38"/>
      <x:c r="S869" s="38"/>
      <x:c r="T869" s="38"/>
      <x:c r="U869" s="38"/>
      <x:c r="V869" s="38"/>
      <x:c r="W869" s="38"/>
      <x:c r="X869" s="38"/>
      <x:c r="Y869" s="38"/>
      <x:c r="Z869" s="38"/>
    </x:row>
    <x:row r="870">
      <x:c r="A870" s="38"/>
      <x:c r="B870" s="38"/>
      <x:c r="C870" s="38"/>
      <x:c r="D870" s="38"/>
      <x:c r="E870" s="38"/>
      <x:c r="F870" s="38"/>
      <x:c r="G870" s="38"/>
      <x:c r="H870" s="38"/>
      <x:c r="I870" s="38"/>
      <x:c r="J870" s="38"/>
      <x:c r="K870" s="38"/>
      <x:c r="L870" s="38"/>
      <x:c r="M870" s="38"/>
      <x:c r="N870" s="38"/>
      <x:c r="O870" s="38"/>
      <x:c r="P870" s="38"/>
      <x:c r="Q870" s="38"/>
      <x:c r="R870" s="38"/>
      <x:c r="S870" s="38"/>
      <x:c r="T870" s="38"/>
      <x:c r="U870" s="38"/>
      <x:c r="V870" s="38"/>
      <x:c r="W870" s="38"/>
      <x:c r="X870" s="38"/>
      <x:c r="Y870" s="38"/>
      <x:c r="Z870" s="38"/>
    </x:row>
    <x:row r="871">
      <x:c r="A871" s="38"/>
      <x:c r="B871" s="38"/>
      <x:c r="C871" s="38"/>
      <x:c r="D871" s="38"/>
      <x:c r="E871" s="38"/>
      <x:c r="F871" s="38"/>
      <x:c r="G871" s="38"/>
      <x:c r="H871" s="38"/>
      <x:c r="I871" s="38"/>
      <x:c r="J871" s="38"/>
      <x:c r="K871" s="38"/>
      <x:c r="L871" s="38"/>
      <x:c r="M871" s="38"/>
      <x:c r="N871" s="38"/>
      <x:c r="O871" s="38"/>
      <x:c r="P871" s="38"/>
      <x:c r="Q871" s="38"/>
      <x:c r="R871" s="38"/>
      <x:c r="S871" s="38"/>
      <x:c r="T871" s="38"/>
      <x:c r="U871" s="38"/>
      <x:c r="V871" s="38"/>
      <x:c r="W871" s="38"/>
      <x:c r="X871" s="38"/>
      <x:c r="Y871" s="38"/>
      <x:c r="Z871" s="38"/>
    </x:row>
    <x:row r="872">
      <x:c r="A872" s="38"/>
      <x:c r="B872" s="38"/>
      <x:c r="C872" s="38"/>
      <x:c r="D872" s="38"/>
      <x:c r="E872" s="38"/>
      <x:c r="F872" s="38"/>
      <x:c r="G872" s="38"/>
      <x:c r="H872" s="38"/>
      <x:c r="I872" s="38"/>
      <x:c r="J872" s="38"/>
      <x:c r="K872" s="38"/>
      <x:c r="L872" s="38"/>
      <x:c r="M872" s="38"/>
      <x:c r="N872" s="38"/>
      <x:c r="O872" s="38"/>
      <x:c r="P872" s="38"/>
      <x:c r="Q872" s="38"/>
      <x:c r="R872" s="38"/>
      <x:c r="S872" s="38"/>
      <x:c r="T872" s="38"/>
      <x:c r="U872" s="38"/>
      <x:c r="V872" s="38"/>
      <x:c r="W872" s="38"/>
      <x:c r="X872" s="38"/>
      <x:c r="Y872" s="38"/>
      <x:c r="Z872" s="38"/>
    </x:row>
    <x:row r="873">
      <x:c r="A873" s="38"/>
      <x:c r="B873" s="38"/>
      <x:c r="C873" s="38"/>
      <x:c r="D873" s="38"/>
      <x:c r="E873" s="38"/>
      <x:c r="F873" s="38"/>
      <x:c r="G873" s="38"/>
      <x:c r="H873" s="38"/>
      <x:c r="I873" s="38"/>
      <x:c r="J873" s="38"/>
      <x:c r="K873" s="38"/>
      <x:c r="L873" s="38"/>
      <x:c r="M873" s="38"/>
      <x:c r="N873" s="38"/>
      <x:c r="O873" s="38"/>
      <x:c r="P873" s="38"/>
      <x:c r="Q873" s="38"/>
      <x:c r="R873" s="38"/>
      <x:c r="S873" s="38"/>
      <x:c r="T873" s="38"/>
      <x:c r="U873" s="38"/>
      <x:c r="V873" s="38"/>
      <x:c r="W873" s="38"/>
      <x:c r="X873" s="38"/>
      <x:c r="Y873" s="38"/>
      <x:c r="Z873" s="38"/>
    </x:row>
    <x:row r="874">
      <x:c r="A874" s="38"/>
      <x:c r="B874" s="38"/>
      <x:c r="C874" s="38"/>
      <x:c r="D874" s="38"/>
      <x:c r="E874" s="38"/>
      <x:c r="F874" s="38"/>
      <x:c r="G874" s="38"/>
      <x:c r="H874" s="38"/>
      <x:c r="I874" s="38"/>
      <x:c r="J874" s="38"/>
      <x:c r="K874" s="38"/>
      <x:c r="L874" s="38"/>
      <x:c r="M874" s="38"/>
      <x:c r="N874" s="38"/>
      <x:c r="O874" s="38"/>
      <x:c r="P874" s="38"/>
      <x:c r="Q874" s="38"/>
      <x:c r="R874" s="38"/>
      <x:c r="S874" s="38"/>
      <x:c r="T874" s="38"/>
      <x:c r="U874" s="38"/>
      <x:c r="V874" s="38"/>
      <x:c r="W874" s="38"/>
      <x:c r="X874" s="38"/>
      <x:c r="Y874" s="38"/>
      <x:c r="Z874" s="38"/>
    </x:row>
    <x:row r="875">
      <x:c r="A875" s="38"/>
      <x:c r="B875" s="38"/>
      <x:c r="C875" s="38"/>
      <x:c r="D875" s="38"/>
      <x:c r="E875" s="38"/>
      <x:c r="F875" s="38"/>
      <x:c r="G875" s="38"/>
      <x:c r="H875" s="38"/>
      <x:c r="I875" s="38"/>
      <x:c r="J875" s="38"/>
      <x:c r="K875" s="38"/>
      <x:c r="L875" s="38"/>
      <x:c r="M875" s="38"/>
      <x:c r="N875" s="38"/>
      <x:c r="O875" s="38"/>
      <x:c r="P875" s="38"/>
      <x:c r="Q875" s="38"/>
      <x:c r="R875" s="38"/>
      <x:c r="S875" s="38"/>
      <x:c r="T875" s="38"/>
      <x:c r="U875" s="38"/>
      <x:c r="V875" s="38"/>
      <x:c r="W875" s="38"/>
      <x:c r="X875" s="38"/>
      <x:c r="Y875" s="38"/>
      <x:c r="Z875" s="38"/>
    </x:row>
    <x:row r="876">
      <x:c r="A876" s="38"/>
      <x:c r="B876" s="38"/>
      <x:c r="C876" s="38"/>
      <x:c r="D876" s="38"/>
      <x:c r="E876" s="38"/>
      <x:c r="F876" s="38"/>
      <x:c r="G876" s="38"/>
      <x:c r="H876" s="38"/>
      <x:c r="I876" s="38"/>
      <x:c r="J876" s="38"/>
      <x:c r="K876" s="38"/>
      <x:c r="L876" s="38"/>
      <x:c r="M876" s="38"/>
      <x:c r="N876" s="38"/>
      <x:c r="O876" s="38"/>
      <x:c r="P876" s="38"/>
      <x:c r="Q876" s="38"/>
      <x:c r="R876" s="38"/>
      <x:c r="S876" s="38"/>
      <x:c r="T876" s="38"/>
      <x:c r="U876" s="38"/>
      <x:c r="V876" s="38"/>
      <x:c r="W876" s="38"/>
      <x:c r="X876" s="38"/>
      <x:c r="Y876" s="38"/>
      <x:c r="Z876" s="38"/>
    </x:row>
    <x:row r="877">
      <x:c r="A877" s="38"/>
      <x:c r="B877" s="38"/>
      <x:c r="C877" s="38"/>
      <x:c r="D877" s="38"/>
      <x:c r="E877" s="38"/>
      <x:c r="F877" s="38"/>
      <x:c r="G877" s="38"/>
      <x:c r="H877" s="38"/>
      <x:c r="I877" s="38"/>
      <x:c r="J877" s="38"/>
      <x:c r="K877" s="38"/>
      <x:c r="L877" s="38"/>
      <x:c r="M877" s="38"/>
      <x:c r="N877" s="38"/>
      <x:c r="O877" s="38"/>
      <x:c r="P877" s="38"/>
      <x:c r="Q877" s="38"/>
      <x:c r="R877" s="38"/>
      <x:c r="S877" s="38"/>
      <x:c r="T877" s="38"/>
      <x:c r="U877" s="38"/>
      <x:c r="V877" s="38"/>
      <x:c r="W877" s="38"/>
      <x:c r="X877" s="38"/>
      <x:c r="Y877" s="38"/>
      <x:c r="Z877" s="38"/>
    </x:row>
    <x:row r="878">
      <x:c r="A878" s="38"/>
      <x:c r="B878" s="38"/>
      <x:c r="C878" s="38"/>
      <x:c r="D878" s="38"/>
      <x:c r="E878" s="38"/>
      <x:c r="F878" s="38"/>
      <x:c r="G878" s="38"/>
      <x:c r="H878" s="38"/>
      <x:c r="I878" s="38"/>
      <x:c r="J878" s="38"/>
      <x:c r="K878" s="38"/>
      <x:c r="L878" s="38"/>
      <x:c r="M878" s="38"/>
      <x:c r="N878" s="38"/>
      <x:c r="O878" s="38"/>
      <x:c r="P878" s="38"/>
      <x:c r="Q878" s="38"/>
      <x:c r="R878" s="38"/>
      <x:c r="S878" s="38"/>
      <x:c r="T878" s="38"/>
      <x:c r="U878" s="38"/>
      <x:c r="V878" s="38"/>
      <x:c r="W878" s="38"/>
      <x:c r="X878" s="38"/>
      <x:c r="Y878" s="38"/>
      <x:c r="Z878" s="38"/>
    </x:row>
    <x:row r="879">
      <x:c r="A879" s="38"/>
      <x:c r="B879" s="38"/>
      <x:c r="C879" s="38"/>
      <x:c r="D879" s="38"/>
      <x:c r="E879" s="38"/>
      <x:c r="F879" s="38"/>
      <x:c r="G879" s="38"/>
      <x:c r="H879" s="38"/>
      <x:c r="I879" s="38"/>
      <x:c r="J879" s="38"/>
      <x:c r="K879" s="38"/>
      <x:c r="L879" s="38"/>
      <x:c r="M879" s="38"/>
      <x:c r="N879" s="38"/>
      <x:c r="O879" s="38"/>
      <x:c r="P879" s="38"/>
      <x:c r="Q879" s="38"/>
      <x:c r="R879" s="38"/>
      <x:c r="S879" s="38"/>
      <x:c r="T879" s="38"/>
      <x:c r="U879" s="38"/>
      <x:c r="V879" s="38"/>
      <x:c r="W879" s="38"/>
      <x:c r="X879" s="38"/>
      <x:c r="Y879" s="38"/>
      <x:c r="Z879" s="38"/>
    </x:row>
    <x:row r="880">
      <x:c r="A880" s="38"/>
      <x:c r="B880" s="38"/>
      <x:c r="C880" s="38"/>
      <x:c r="D880" s="38"/>
      <x:c r="E880" s="38"/>
      <x:c r="F880" s="38"/>
      <x:c r="G880" s="38"/>
      <x:c r="H880" s="38"/>
      <x:c r="I880" s="38"/>
      <x:c r="J880" s="38"/>
      <x:c r="K880" s="38"/>
      <x:c r="L880" s="38"/>
      <x:c r="M880" s="38"/>
      <x:c r="N880" s="38"/>
      <x:c r="O880" s="38"/>
      <x:c r="P880" s="38"/>
      <x:c r="Q880" s="38"/>
      <x:c r="R880" s="38"/>
      <x:c r="S880" s="38"/>
      <x:c r="T880" s="38"/>
      <x:c r="U880" s="38"/>
      <x:c r="V880" s="38"/>
      <x:c r="W880" s="38"/>
      <x:c r="X880" s="38"/>
      <x:c r="Y880" s="38"/>
      <x:c r="Z880" s="38"/>
    </x:row>
    <x:row r="881">
      <x:c r="A881" s="38"/>
      <x:c r="B881" s="38"/>
      <x:c r="C881" s="38"/>
      <x:c r="D881" s="38"/>
      <x:c r="E881" s="38"/>
      <x:c r="F881" s="38"/>
      <x:c r="G881" s="38"/>
      <x:c r="H881" s="38"/>
      <x:c r="I881" s="38"/>
      <x:c r="J881" s="38"/>
      <x:c r="K881" s="38"/>
      <x:c r="L881" s="38"/>
      <x:c r="M881" s="38"/>
      <x:c r="N881" s="38"/>
      <x:c r="O881" s="38"/>
      <x:c r="P881" s="38"/>
      <x:c r="Q881" s="38"/>
      <x:c r="R881" s="38"/>
      <x:c r="S881" s="38"/>
      <x:c r="T881" s="38"/>
      <x:c r="U881" s="38"/>
      <x:c r="V881" s="38"/>
      <x:c r="W881" s="38"/>
      <x:c r="X881" s="38"/>
      <x:c r="Y881" s="38"/>
      <x:c r="Z881" s="38"/>
    </x:row>
    <x:row r="882">
      <x:c r="A882" s="38"/>
      <x:c r="B882" s="38"/>
      <x:c r="C882" s="38"/>
      <x:c r="D882" s="38"/>
      <x:c r="E882" s="38"/>
      <x:c r="F882" s="38"/>
      <x:c r="G882" s="38"/>
      <x:c r="H882" s="38"/>
      <x:c r="I882" s="38"/>
      <x:c r="J882" s="38"/>
      <x:c r="K882" s="38"/>
      <x:c r="L882" s="38"/>
      <x:c r="M882" s="38"/>
      <x:c r="N882" s="38"/>
      <x:c r="O882" s="38"/>
      <x:c r="P882" s="38"/>
      <x:c r="Q882" s="38"/>
      <x:c r="R882" s="38"/>
      <x:c r="S882" s="38"/>
      <x:c r="T882" s="38"/>
      <x:c r="U882" s="38"/>
      <x:c r="V882" s="38"/>
      <x:c r="W882" s="38"/>
      <x:c r="X882" s="38"/>
      <x:c r="Y882" s="38"/>
      <x:c r="Z882" s="38"/>
    </x:row>
    <x:row r="883">
      <x:c r="A883" s="38"/>
      <x:c r="B883" s="38"/>
      <x:c r="C883" s="38"/>
      <x:c r="D883" s="38"/>
      <x:c r="E883" s="38"/>
      <x:c r="F883" s="38"/>
      <x:c r="G883" s="38"/>
      <x:c r="H883" s="38"/>
      <x:c r="I883" s="38"/>
      <x:c r="J883" s="38"/>
      <x:c r="K883" s="38"/>
      <x:c r="L883" s="38"/>
      <x:c r="M883" s="38"/>
      <x:c r="N883" s="38"/>
      <x:c r="O883" s="38"/>
      <x:c r="P883" s="38"/>
      <x:c r="Q883" s="38"/>
      <x:c r="R883" s="38"/>
      <x:c r="S883" s="38"/>
      <x:c r="T883" s="38"/>
      <x:c r="U883" s="38"/>
      <x:c r="V883" s="38"/>
      <x:c r="W883" s="38"/>
      <x:c r="X883" s="38"/>
      <x:c r="Y883" s="38"/>
      <x:c r="Z883" s="38"/>
    </x:row>
    <x:row r="884">
      <x:c r="A884" s="38"/>
      <x:c r="B884" s="38"/>
      <x:c r="C884" s="38"/>
      <x:c r="D884" s="38"/>
      <x:c r="E884" s="38"/>
      <x:c r="F884" s="38"/>
      <x:c r="G884" s="38"/>
      <x:c r="H884" s="38"/>
      <x:c r="I884" s="38"/>
      <x:c r="J884" s="38"/>
      <x:c r="K884" s="38"/>
      <x:c r="L884" s="38"/>
      <x:c r="M884" s="38"/>
      <x:c r="N884" s="38"/>
      <x:c r="O884" s="38"/>
      <x:c r="P884" s="38"/>
      <x:c r="Q884" s="38"/>
      <x:c r="R884" s="38"/>
      <x:c r="S884" s="38"/>
      <x:c r="T884" s="38"/>
      <x:c r="U884" s="38"/>
      <x:c r="V884" s="38"/>
      <x:c r="W884" s="38"/>
      <x:c r="X884" s="38"/>
      <x:c r="Y884" s="38"/>
      <x:c r="Z884" s="38"/>
    </x:row>
    <x:row r="885">
      <x:c r="A885" s="38"/>
      <x:c r="B885" s="38"/>
      <x:c r="C885" s="38"/>
      <x:c r="D885" s="38"/>
      <x:c r="E885" s="38"/>
      <x:c r="F885" s="38"/>
      <x:c r="G885" s="38"/>
      <x:c r="H885" s="38"/>
      <x:c r="I885" s="38"/>
      <x:c r="J885" s="38"/>
      <x:c r="K885" s="38"/>
      <x:c r="L885" s="38"/>
      <x:c r="M885" s="38"/>
      <x:c r="N885" s="38"/>
      <x:c r="O885" s="38"/>
      <x:c r="P885" s="38"/>
      <x:c r="Q885" s="38"/>
      <x:c r="R885" s="38"/>
      <x:c r="S885" s="38"/>
      <x:c r="T885" s="38"/>
      <x:c r="U885" s="38"/>
      <x:c r="V885" s="38"/>
      <x:c r="W885" s="38"/>
      <x:c r="X885" s="38"/>
      <x:c r="Y885" s="38"/>
      <x:c r="Z885" s="38"/>
    </x:row>
    <x:row r="886">
      <x:c r="A886" s="38"/>
      <x:c r="B886" s="38"/>
      <x:c r="C886" s="38"/>
      <x:c r="D886" s="38"/>
      <x:c r="E886" s="38"/>
      <x:c r="F886" s="38"/>
      <x:c r="G886" s="38"/>
      <x:c r="H886" s="38"/>
      <x:c r="I886" s="38"/>
      <x:c r="J886" s="38"/>
      <x:c r="K886" s="38"/>
      <x:c r="L886" s="38"/>
      <x:c r="M886" s="38"/>
      <x:c r="N886" s="38"/>
      <x:c r="O886" s="38"/>
      <x:c r="P886" s="38"/>
      <x:c r="Q886" s="38"/>
      <x:c r="R886" s="38"/>
      <x:c r="S886" s="38"/>
      <x:c r="T886" s="38"/>
      <x:c r="U886" s="38"/>
      <x:c r="V886" s="38"/>
      <x:c r="W886" s="38"/>
      <x:c r="X886" s="38"/>
      <x:c r="Y886" s="38"/>
      <x:c r="Z886" s="38"/>
    </x:row>
    <x:row r="887">
      <x:c r="A887" s="38"/>
      <x:c r="B887" s="38"/>
      <x:c r="C887" s="38"/>
      <x:c r="D887" s="38"/>
      <x:c r="E887" s="38"/>
      <x:c r="F887" s="38"/>
      <x:c r="G887" s="38"/>
      <x:c r="H887" s="38"/>
      <x:c r="I887" s="38"/>
      <x:c r="J887" s="38"/>
      <x:c r="K887" s="38"/>
      <x:c r="L887" s="38"/>
      <x:c r="M887" s="38"/>
      <x:c r="N887" s="38"/>
      <x:c r="O887" s="38"/>
      <x:c r="P887" s="38"/>
      <x:c r="Q887" s="38"/>
      <x:c r="R887" s="38"/>
      <x:c r="S887" s="38"/>
      <x:c r="T887" s="38"/>
      <x:c r="U887" s="38"/>
      <x:c r="V887" s="38"/>
      <x:c r="W887" s="38"/>
      <x:c r="X887" s="38"/>
      <x:c r="Y887" s="38"/>
      <x:c r="Z887" s="38"/>
    </x:row>
    <x:row r="888">
      <x:c r="A888" s="38"/>
      <x:c r="B888" s="38"/>
      <x:c r="C888" s="38"/>
      <x:c r="D888" s="38"/>
      <x:c r="E888" s="38"/>
      <x:c r="F888" s="38"/>
      <x:c r="G888" s="38"/>
      <x:c r="H888" s="38"/>
      <x:c r="I888" s="38"/>
      <x:c r="J888" s="38"/>
      <x:c r="K888" s="38"/>
      <x:c r="L888" s="38"/>
      <x:c r="M888" s="38"/>
      <x:c r="N888" s="38"/>
      <x:c r="O888" s="38"/>
      <x:c r="P888" s="38"/>
      <x:c r="Q888" s="38"/>
      <x:c r="R888" s="38"/>
      <x:c r="S888" s="38"/>
      <x:c r="T888" s="38"/>
      <x:c r="U888" s="38"/>
      <x:c r="V888" s="38"/>
      <x:c r="W888" s="38"/>
      <x:c r="X888" s="38"/>
      <x:c r="Y888" s="38"/>
      <x:c r="Z888" s="38"/>
    </x:row>
    <x:row r="889">
      <x:c r="A889" s="38"/>
      <x:c r="B889" s="38"/>
      <x:c r="C889" s="38"/>
      <x:c r="D889" s="38"/>
      <x:c r="E889" s="38"/>
      <x:c r="F889" s="38"/>
      <x:c r="G889" s="38"/>
      <x:c r="H889" s="38"/>
      <x:c r="I889" s="38"/>
      <x:c r="J889" s="38"/>
      <x:c r="K889" s="38"/>
      <x:c r="L889" s="38"/>
      <x:c r="M889" s="38"/>
      <x:c r="N889" s="38"/>
      <x:c r="O889" s="38"/>
      <x:c r="P889" s="38"/>
      <x:c r="Q889" s="38"/>
      <x:c r="R889" s="38"/>
      <x:c r="S889" s="38"/>
      <x:c r="T889" s="38"/>
      <x:c r="U889" s="38"/>
      <x:c r="V889" s="38"/>
      <x:c r="W889" s="38"/>
      <x:c r="X889" s="38"/>
      <x:c r="Y889" s="38"/>
      <x:c r="Z889" s="38"/>
    </x:row>
    <x:row r="890">
      <x:c r="A890" s="38"/>
      <x:c r="B890" s="38"/>
      <x:c r="C890" s="38"/>
      <x:c r="D890" s="38"/>
      <x:c r="E890" s="38"/>
      <x:c r="F890" s="38"/>
      <x:c r="G890" s="38"/>
      <x:c r="H890" s="38"/>
      <x:c r="I890" s="38"/>
      <x:c r="J890" s="38"/>
      <x:c r="K890" s="38"/>
      <x:c r="L890" s="38"/>
      <x:c r="M890" s="38"/>
      <x:c r="N890" s="38"/>
      <x:c r="O890" s="38"/>
      <x:c r="P890" s="38"/>
      <x:c r="Q890" s="38"/>
      <x:c r="R890" s="38"/>
      <x:c r="S890" s="38"/>
      <x:c r="T890" s="38"/>
      <x:c r="U890" s="38"/>
      <x:c r="V890" s="38"/>
      <x:c r="W890" s="38"/>
      <x:c r="X890" s="38"/>
      <x:c r="Y890" s="38"/>
      <x:c r="Z890" s="38"/>
    </x:row>
    <x:row r="891">
      <x:c r="A891" s="38"/>
      <x:c r="B891" s="38"/>
      <x:c r="C891" s="38"/>
      <x:c r="D891" s="38"/>
      <x:c r="E891" s="38"/>
      <x:c r="F891" s="38"/>
      <x:c r="G891" s="38"/>
      <x:c r="H891" s="38"/>
      <x:c r="I891" s="38"/>
      <x:c r="J891" s="38"/>
      <x:c r="K891" s="38"/>
      <x:c r="L891" s="38"/>
      <x:c r="M891" s="38"/>
      <x:c r="N891" s="38"/>
      <x:c r="O891" s="38"/>
      <x:c r="P891" s="38"/>
      <x:c r="Q891" s="38"/>
      <x:c r="R891" s="38"/>
      <x:c r="S891" s="38"/>
      <x:c r="T891" s="38"/>
      <x:c r="U891" s="38"/>
      <x:c r="V891" s="38"/>
      <x:c r="W891" s="38"/>
      <x:c r="X891" s="38"/>
      <x:c r="Y891" s="38"/>
      <x:c r="Z891" s="38"/>
    </x:row>
    <x:row r="892">
      <x:c r="A892" s="38"/>
      <x:c r="B892" s="38"/>
      <x:c r="C892" s="38"/>
      <x:c r="D892" s="38"/>
      <x:c r="E892" s="38"/>
      <x:c r="F892" s="38"/>
      <x:c r="G892" s="38"/>
      <x:c r="H892" s="38"/>
      <x:c r="I892" s="38"/>
      <x:c r="J892" s="38"/>
      <x:c r="K892" s="38"/>
      <x:c r="L892" s="38"/>
      <x:c r="M892" s="38"/>
      <x:c r="N892" s="38"/>
      <x:c r="O892" s="38"/>
      <x:c r="P892" s="38"/>
      <x:c r="Q892" s="38"/>
      <x:c r="R892" s="38"/>
      <x:c r="S892" s="38"/>
      <x:c r="T892" s="38"/>
      <x:c r="U892" s="38"/>
      <x:c r="V892" s="38"/>
      <x:c r="W892" s="38"/>
      <x:c r="X892" s="38"/>
      <x:c r="Y892" s="38"/>
      <x:c r="Z892" s="38"/>
    </x:row>
    <x:row r="893">
      <x:c r="A893" s="38"/>
      <x:c r="B893" s="38"/>
      <x:c r="C893" s="38"/>
      <x:c r="D893" s="38"/>
      <x:c r="E893" s="38"/>
      <x:c r="F893" s="38"/>
      <x:c r="G893" s="38"/>
      <x:c r="H893" s="38"/>
      <x:c r="I893" s="38"/>
      <x:c r="J893" s="38"/>
      <x:c r="K893" s="38"/>
      <x:c r="L893" s="38"/>
      <x:c r="M893" s="38"/>
      <x:c r="N893" s="38"/>
      <x:c r="O893" s="38"/>
      <x:c r="P893" s="38"/>
      <x:c r="Q893" s="38"/>
      <x:c r="R893" s="38"/>
      <x:c r="S893" s="38"/>
      <x:c r="T893" s="38"/>
      <x:c r="U893" s="38"/>
      <x:c r="V893" s="38"/>
      <x:c r="W893" s="38"/>
      <x:c r="X893" s="38"/>
      <x:c r="Y893" s="38"/>
      <x:c r="Z893" s="38"/>
    </x:row>
    <x:row r="894">
      <x:c r="A894" s="38"/>
      <x:c r="B894" s="38"/>
      <x:c r="C894" s="38"/>
      <x:c r="D894" s="38"/>
      <x:c r="E894" s="38"/>
      <x:c r="F894" s="38"/>
      <x:c r="G894" s="38"/>
      <x:c r="H894" s="38"/>
      <x:c r="I894" s="38"/>
      <x:c r="J894" s="38"/>
      <x:c r="K894" s="38"/>
      <x:c r="L894" s="38"/>
      <x:c r="M894" s="38"/>
      <x:c r="N894" s="38"/>
      <x:c r="O894" s="38"/>
      <x:c r="P894" s="38"/>
      <x:c r="Q894" s="38"/>
      <x:c r="R894" s="38"/>
      <x:c r="S894" s="38"/>
      <x:c r="T894" s="38"/>
      <x:c r="U894" s="38"/>
      <x:c r="V894" s="38"/>
      <x:c r="W894" s="38"/>
      <x:c r="X894" s="38"/>
      <x:c r="Y894" s="38"/>
      <x:c r="Z894" s="38"/>
    </x:row>
    <x:row r="895">
      <x:c r="A895" s="38"/>
      <x:c r="B895" s="38"/>
      <x:c r="C895" s="38"/>
      <x:c r="D895" s="38"/>
      <x:c r="E895" s="38"/>
      <x:c r="F895" s="38"/>
      <x:c r="G895" s="38"/>
      <x:c r="H895" s="38"/>
      <x:c r="I895" s="38"/>
      <x:c r="J895" s="38"/>
      <x:c r="K895" s="38"/>
      <x:c r="L895" s="38"/>
      <x:c r="M895" s="38"/>
      <x:c r="N895" s="38"/>
      <x:c r="O895" s="38"/>
      <x:c r="P895" s="38"/>
      <x:c r="Q895" s="38"/>
      <x:c r="R895" s="38"/>
      <x:c r="S895" s="38"/>
      <x:c r="T895" s="38"/>
      <x:c r="U895" s="38"/>
      <x:c r="V895" s="38"/>
      <x:c r="W895" s="38"/>
      <x:c r="X895" s="38"/>
      <x:c r="Y895" s="38"/>
      <x:c r="Z895" s="38"/>
    </x:row>
    <x:row r="896">
      <x:c r="A896" s="38"/>
      <x:c r="B896" s="38"/>
      <x:c r="C896" s="38"/>
      <x:c r="D896" s="38"/>
      <x:c r="E896" s="38"/>
      <x:c r="F896" s="38"/>
      <x:c r="G896" s="38"/>
      <x:c r="H896" s="38"/>
      <x:c r="I896" s="38"/>
      <x:c r="J896" s="38"/>
      <x:c r="K896" s="38"/>
      <x:c r="L896" s="38"/>
      <x:c r="M896" s="38"/>
      <x:c r="N896" s="38"/>
      <x:c r="O896" s="38"/>
      <x:c r="P896" s="38"/>
      <x:c r="Q896" s="38"/>
      <x:c r="R896" s="38"/>
      <x:c r="S896" s="38"/>
      <x:c r="T896" s="38"/>
      <x:c r="U896" s="38"/>
      <x:c r="V896" s="38"/>
      <x:c r="W896" s="38"/>
      <x:c r="X896" s="38"/>
      <x:c r="Y896" s="38"/>
      <x:c r="Z896" s="38"/>
    </x:row>
    <x:row r="897">
      <x:c r="A897" s="38"/>
      <x:c r="B897" s="38"/>
      <x:c r="C897" s="38"/>
      <x:c r="D897" s="38"/>
      <x:c r="E897" s="38"/>
      <x:c r="F897" s="38"/>
      <x:c r="G897" s="38"/>
      <x:c r="H897" s="38"/>
      <x:c r="I897" s="38"/>
      <x:c r="J897" s="38"/>
      <x:c r="K897" s="38"/>
      <x:c r="L897" s="38"/>
      <x:c r="M897" s="38"/>
      <x:c r="N897" s="38"/>
      <x:c r="O897" s="38"/>
      <x:c r="P897" s="38"/>
      <x:c r="Q897" s="38"/>
      <x:c r="R897" s="38"/>
      <x:c r="S897" s="38"/>
      <x:c r="T897" s="38"/>
      <x:c r="U897" s="38"/>
      <x:c r="V897" s="38"/>
      <x:c r="W897" s="38"/>
      <x:c r="X897" s="38"/>
      <x:c r="Y897" s="38"/>
      <x:c r="Z897" s="38"/>
    </x:row>
    <x:row r="898">
      <x:c r="A898" s="38"/>
      <x:c r="B898" s="38"/>
      <x:c r="C898" s="38"/>
      <x:c r="D898" s="38"/>
      <x:c r="E898" s="38"/>
      <x:c r="F898" s="38"/>
      <x:c r="G898" s="38"/>
      <x:c r="H898" s="38"/>
      <x:c r="I898" s="38"/>
      <x:c r="J898" s="38"/>
      <x:c r="K898" s="38"/>
      <x:c r="L898" s="38"/>
      <x:c r="M898" s="38"/>
      <x:c r="N898" s="38"/>
      <x:c r="O898" s="38"/>
      <x:c r="P898" s="38"/>
      <x:c r="Q898" s="38"/>
      <x:c r="R898" s="38"/>
      <x:c r="S898" s="38"/>
      <x:c r="T898" s="38"/>
      <x:c r="U898" s="38"/>
      <x:c r="V898" s="38"/>
      <x:c r="W898" s="38"/>
      <x:c r="X898" s="38"/>
      <x:c r="Y898" s="38"/>
      <x:c r="Z898" s="38"/>
    </x:row>
    <x:row r="899">
      <x:c r="A899" s="38"/>
      <x:c r="B899" s="38"/>
      <x:c r="C899" s="38"/>
      <x:c r="D899" s="38"/>
      <x:c r="E899" s="38"/>
      <x:c r="F899" s="38"/>
      <x:c r="G899" s="38"/>
      <x:c r="H899" s="38"/>
      <x:c r="I899" s="38"/>
      <x:c r="J899" s="38"/>
      <x:c r="K899" s="38"/>
      <x:c r="L899" s="38"/>
      <x:c r="M899" s="38"/>
      <x:c r="N899" s="38"/>
      <x:c r="O899" s="38"/>
      <x:c r="P899" s="38"/>
      <x:c r="Q899" s="38"/>
      <x:c r="R899" s="38"/>
      <x:c r="S899" s="38"/>
      <x:c r="T899" s="38"/>
      <x:c r="U899" s="38"/>
      <x:c r="V899" s="38"/>
      <x:c r="W899" s="38"/>
      <x:c r="X899" s="38"/>
      <x:c r="Y899" s="38"/>
      <x:c r="Z899" s="38"/>
    </x:row>
    <x:row r="900">
      <x:c r="A900" s="38"/>
      <x:c r="B900" s="38"/>
      <x:c r="C900" s="38"/>
      <x:c r="D900" s="38"/>
      <x:c r="E900" s="38"/>
      <x:c r="F900" s="38"/>
      <x:c r="G900" s="38"/>
      <x:c r="H900" s="38"/>
      <x:c r="I900" s="38"/>
      <x:c r="J900" s="38"/>
      <x:c r="K900" s="38"/>
      <x:c r="L900" s="38"/>
      <x:c r="M900" s="38"/>
      <x:c r="N900" s="38"/>
      <x:c r="O900" s="38"/>
      <x:c r="P900" s="38"/>
      <x:c r="Q900" s="38"/>
      <x:c r="R900" s="38"/>
      <x:c r="S900" s="38"/>
      <x:c r="T900" s="38"/>
      <x:c r="U900" s="38"/>
      <x:c r="V900" s="38"/>
      <x:c r="W900" s="38"/>
      <x:c r="X900" s="38"/>
      <x:c r="Y900" s="38"/>
      <x:c r="Z900" s="38"/>
    </x:row>
    <x:row r="901">
      <x:c r="A901" s="38"/>
      <x:c r="B901" s="38"/>
      <x:c r="C901" s="38"/>
      <x:c r="D901" s="38"/>
      <x:c r="E901" s="38"/>
      <x:c r="F901" s="38"/>
      <x:c r="G901" s="38"/>
      <x:c r="H901" s="38"/>
      <x:c r="I901" s="38"/>
      <x:c r="J901" s="38"/>
      <x:c r="K901" s="38"/>
      <x:c r="L901" s="38"/>
      <x:c r="M901" s="38"/>
      <x:c r="N901" s="38"/>
      <x:c r="O901" s="38"/>
      <x:c r="P901" s="38"/>
      <x:c r="Q901" s="38"/>
      <x:c r="R901" s="38"/>
      <x:c r="S901" s="38"/>
      <x:c r="T901" s="38"/>
      <x:c r="U901" s="38"/>
      <x:c r="V901" s="38"/>
      <x:c r="W901" s="38"/>
      <x:c r="X901" s="38"/>
      <x:c r="Y901" s="38"/>
      <x:c r="Z901" s="38"/>
    </x:row>
    <x:row r="902">
      <x:c r="A902" s="38"/>
      <x:c r="B902" s="38"/>
      <x:c r="C902" s="38"/>
      <x:c r="D902" s="38"/>
      <x:c r="E902" s="38"/>
      <x:c r="F902" s="38"/>
      <x:c r="G902" s="38"/>
      <x:c r="H902" s="38"/>
      <x:c r="I902" s="38"/>
      <x:c r="J902" s="38"/>
      <x:c r="K902" s="38"/>
      <x:c r="L902" s="38"/>
      <x:c r="M902" s="38"/>
      <x:c r="N902" s="38"/>
      <x:c r="O902" s="38"/>
      <x:c r="P902" s="38"/>
      <x:c r="Q902" s="38"/>
      <x:c r="R902" s="38"/>
      <x:c r="S902" s="38"/>
      <x:c r="T902" s="38"/>
      <x:c r="U902" s="38"/>
      <x:c r="V902" s="38"/>
      <x:c r="W902" s="38"/>
      <x:c r="X902" s="38"/>
      <x:c r="Y902" s="38"/>
      <x:c r="Z902" s="38"/>
    </x:row>
    <x:row r="903">
      <x:c r="A903" s="38"/>
      <x:c r="B903" s="38"/>
      <x:c r="C903" s="38"/>
      <x:c r="D903" s="38"/>
      <x:c r="E903" s="38"/>
      <x:c r="F903" s="38"/>
      <x:c r="G903" s="38"/>
      <x:c r="H903" s="38"/>
      <x:c r="I903" s="38"/>
      <x:c r="J903" s="38"/>
      <x:c r="K903" s="38"/>
      <x:c r="L903" s="38"/>
      <x:c r="M903" s="38"/>
      <x:c r="N903" s="38"/>
      <x:c r="O903" s="38"/>
      <x:c r="P903" s="38"/>
      <x:c r="Q903" s="38"/>
      <x:c r="R903" s="38"/>
      <x:c r="S903" s="38"/>
      <x:c r="T903" s="38"/>
      <x:c r="U903" s="38"/>
      <x:c r="V903" s="38"/>
      <x:c r="W903" s="38"/>
      <x:c r="X903" s="38"/>
      <x:c r="Y903" s="38"/>
      <x:c r="Z903" s="38"/>
    </x:row>
    <x:row r="904">
      <x:c r="A904" s="38"/>
      <x:c r="B904" s="38"/>
      <x:c r="C904" s="38"/>
      <x:c r="D904" s="38"/>
      <x:c r="E904" s="38"/>
      <x:c r="F904" s="38"/>
      <x:c r="G904" s="38"/>
      <x:c r="H904" s="38"/>
      <x:c r="I904" s="38"/>
      <x:c r="J904" s="38"/>
      <x:c r="K904" s="38"/>
      <x:c r="L904" s="38"/>
      <x:c r="M904" s="38"/>
      <x:c r="N904" s="38"/>
      <x:c r="O904" s="38"/>
      <x:c r="P904" s="38"/>
      <x:c r="Q904" s="38"/>
      <x:c r="R904" s="38"/>
      <x:c r="S904" s="38"/>
      <x:c r="T904" s="38"/>
      <x:c r="U904" s="38"/>
      <x:c r="V904" s="38"/>
      <x:c r="W904" s="38"/>
      <x:c r="X904" s="38"/>
      <x:c r="Y904" s="38"/>
      <x:c r="Z904" s="38"/>
    </x:row>
    <x:row r="905">
      <x:c r="A905" s="38"/>
      <x:c r="B905" s="38"/>
      <x:c r="C905" s="38"/>
      <x:c r="D905" s="38"/>
      <x:c r="E905" s="38"/>
      <x:c r="F905" s="38"/>
      <x:c r="G905" s="38"/>
      <x:c r="H905" s="38"/>
      <x:c r="I905" s="38"/>
      <x:c r="J905" s="38"/>
      <x:c r="K905" s="38"/>
      <x:c r="L905" s="38"/>
      <x:c r="M905" s="38"/>
      <x:c r="N905" s="38"/>
      <x:c r="O905" s="38"/>
      <x:c r="P905" s="38"/>
      <x:c r="Q905" s="38"/>
      <x:c r="R905" s="38"/>
      <x:c r="S905" s="38"/>
      <x:c r="T905" s="38"/>
      <x:c r="U905" s="38"/>
      <x:c r="V905" s="38"/>
      <x:c r="W905" s="38"/>
      <x:c r="X905" s="38"/>
      <x:c r="Y905" s="38"/>
      <x:c r="Z905" s="38"/>
    </x:row>
    <x:row r="906">
      <x:c r="A906" s="38"/>
      <x:c r="B906" s="38"/>
      <x:c r="C906" s="38"/>
      <x:c r="D906" s="38"/>
      <x:c r="E906" s="38"/>
      <x:c r="F906" s="38"/>
      <x:c r="G906" s="38"/>
      <x:c r="H906" s="38"/>
      <x:c r="I906" s="38"/>
      <x:c r="J906" s="38"/>
      <x:c r="K906" s="38"/>
      <x:c r="L906" s="38"/>
      <x:c r="M906" s="38"/>
      <x:c r="N906" s="38"/>
      <x:c r="O906" s="38"/>
      <x:c r="P906" s="38"/>
      <x:c r="Q906" s="38"/>
      <x:c r="R906" s="38"/>
      <x:c r="S906" s="38"/>
      <x:c r="T906" s="38"/>
      <x:c r="U906" s="38"/>
      <x:c r="V906" s="38"/>
      <x:c r="W906" s="38"/>
      <x:c r="X906" s="38"/>
      <x:c r="Y906" s="38"/>
      <x:c r="Z906" s="38"/>
    </x:row>
    <x:row r="907">
      <x:c r="A907" s="38"/>
      <x:c r="B907" s="38"/>
      <x:c r="C907" s="38"/>
      <x:c r="D907" s="38"/>
      <x:c r="E907" s="38"/>
      <x:c r="F907" s="38"/>
      <x:c r="G907" s="38"/>
      <x:c r="H907" s="38"/>
      <x:c r="I907" s="38"/>
      <x:c r="J907" s="38"/>
      <x:c r="K907" s="38"/>
      <x:c r="L907" s="38"/>
      <x:c r="M907" s="38"/>
      <x:c r="N907" s="38"/>
      <x:c r="O907" s="38"/>
      <x:c r="P907" s="38"/>
      <x:c r="Q907" s="38"/>
      <x:c r="R907" s="38"/>
      <x:c r="S907" s="38"/>
      <x:c r="T907" s="38"/>
      <x:c r="U907" s="38"/>
      <x:c r="V907" s="38"/>
      <x:c r="W907" s="38"/>
      <x:c r="X907" s="38"/>
      <x:c r="Y907" s="38"/>
      <x:c r="Z907" s="38"/>
    </x:row>
    <x:row r="908">
      <x:c r="A908" s="38"/>
      <x:c r="B908" s="38"/>
      <x:c r="C908" s="38"/>
      <x:c r="D908" s="38"/>
      <x:c r="E908" s="38"/>
      <x:c r="F908" s="38"/>
      <x:c r="G908" s="38"/>
      <x:c r="H908" s="38"/>
      <x:c r="I908" s="38"/>
      <x:c r="J908" s="38"/>
      <x:c r="K908" s="38"/>
      <x:c r="L908" s="38"/>
      <x:c r="M908" s="38"/>
      <x:c r="N908" s="38"/>
      <x:c r="O908" s="38"/>
      <x:c r="P908" s="38"/>
      <x:c r="Q908" s="38"/>
      <x:c r="R908" s="38"/>
      <x:c r="S908" s="38"/>
      <x:c r="T908" s="38"/>
      <x:c r="U908" s="38"/>
      <x:c r="V908" s="38"/>
      <x:c r="W908" s="38"/>
      <x:c r="X908" s="38"/>
      <x:c r="Y908" s="38"/>
      <x:c r="Z908" s="38"/>
    </x:row>
    <x:row r="909">
      <x:c r="A909" s="38"/>
      <x:c r="B909" s="38"/>
      <x:c r="C909" s="38"/>
      <x:c r="D909" s="38"/>
      <x:c r="E909" s="38"/>
      <x:c r="F909" s="38"/>
      <x:c r="G909" s="38"/>
      <x:c r="H909" s="38"/>
      <x:c r="I909" s="38"/>
      <x:c r="J909" s="38"/>
      <x:c r="K909" s="38"/>
      <x:c r="L909" s="38"/>
      <x:c r="M909" s="38"/>
      <x:c r="N909" s="38"/>
      <x:c r="O909" s="38"/>
      <x:c r="P909" s="38"/>
      <x:c r="Q909" s="38"/>
      <x:c r="R909" s="38"/>
      <x:c r="S909" s="38"/>
      <x:c r="T909" s="38"/>
      <x:c r="U909" s="38"/>
      <x:c r="V909" s="38"/>
      <x:c r="W909" s="38"/>
      <x:c r="X909" s="38"/>
      <x:c r="Y909" s="38"/>
      <x:c r="Z909" s="38"/>
    </x:row>
    <x:row r="910">
      <x:c r="A910" s="38"/>
      <x:c r="B910" s="38"/>
      <x:c r="C910" s="38"/>
      <x:c r="D910" s="38"/>
      <x:c r="E910" s="38"/>
      <x:c r="F910" s="38"/>
      <x:c r="G910" s="38"/>
      <x:c r="H910" s="38"/>
      <x:c r="I910" s="38"/>
      <x:c r="J910" s="38"/>
      <x:c r="K910" s="38"/>
      <x:c r="L910" s="38"/>
      <x:c r="M910" s="38"/>
      <x:c r="N910" s="38"/>
      <x:c r="O910" s="38"/>
      <x:c r="P910" s="38"/>
      <x:c r="Q910" s="38"/>
      <x:c r="R910" s="38"/>
      <x:c r="S910" s="38"/>
      <x:c r="T910" s="38"/>
      <x:c r="U910" s="38"/>
      <x:c r="V910" s="38"/>
      <x:c r="W910" s="38"/>
      <x:c r="X910" s="38"/>
      <x:c r="Y910" s="38"/>
      <x:c r="Z910" s="38"/>
    </x:row>
    <x:row r="911">
      <x:c r="A911" s="38"/>
      <x:c r="B911" s="38"/>
      <x:c r="C911" s="38"/>
      <x:c r="D911" s="38"/>
      <x:c r="E911" s="38"/>
      <x:c r="F911" s="38"/>
      <x:c r="G911" s="38"/>
      <x:c r="H911" s="38"/>
      <x:c r="I911" s="38"/>
      <x:c r="J911" s="38"/>
      <x:c r="K911" s="38"/>
      <x:c r="L911" s="38"/>
      <x:c r="M911" s="38"/>
      <x:c r="N911" s="38"/>
      <x:c r="O911" s="38"/>
      <x:c r="P911" s="38"/>
      <x:c r="Q911" s="38"/>
      <x:c r="R911" s="38"/>
      <x:c r="S911" s="38"/>
      <x:c r="T911" s="38"/>
      <x:c r="U911" s="38"/>
      <x:c r="V911" s="38"/>
      <x:c r="W911" s="38"/>
      <x:c r="X911" s="38"/>
      <x:c r="Y911" s="38"/>
      <x:c r="Z911" s="38"/>
    </x:row>
    <x:row r="912">
      <x:c r="A912" s="38"/>
      <x:c r="B912" s="38"/>
      <x:c r="C912" s="38"/>
      <x:c r="D912" s="38"/>
      <x:c r="E912" s="38"/>
      <x:c r="F912" s="38"/>
      <x:c r="G912" s="38"/>
      <x:c r="H912" s="38"/>
      <x:c r="I912" s="38"/>
      <x:c r="J912" s="38"/>
      <x:c r="K912" s="38"/>
      <x:c r="L912" s="38"/>
      <x:c r="M912" s="38"/>
      <x:c r="N912" s="38"/>
      <x:c r="O912" s="38"/>
      <x:c r="P912" s="38"/>
      <x:c r="Q912" s="38"/>
      <x:c r="R912" s="38"/>
      <x:c r="S912" s="38"/>
      <x:c r="T912" s="38"/>
      <x:c r="U912" s="38"/>
      <x:c r="V912" s="38"/>
      <x:c r="W912" s="38"/>
      <x:c r="X912" s="38"/>
      <x:c r="Y912" s="38"/>
      <x:c r="Z912" s="38"/>
    </x:row>
    <x:row r="913">
      <x:c r="A913" s="38"/>
      <x:c r="B913" s="38"/>
      <x:c r="C913" s="38"/>
      <x:c r="D913" s="38"/>
      <x:c r="E913" s="38"/>
      <x:c r="F913" s="38"/>
      <x:c r="G913" s="38"/>
      <x:c r="H913" s="38"/>
      <x:c r="I913" s="38"/>
      <x:c r="J913" s="38"/>
      <x:c r="K913" s="38"/>
      <x:c r="L913" s="38"/>
      <x:c r="M913" s="38"/>
      <x:c r="N913" s="38"/>
      <x:c r="O913" s="38"/>
      <x:c r="P913" s="38"/>
      <x:c r="Q913" s="38"/>
      <x:c r="R913" s="38"/>
      <x:c r="S913" s="38"/>
      <x:c r="T913" s="38"/>
      <x:c r="U913" s="38"/>
      <x:c r="V913" s="38"/>
      <x:c r="W913" s="38"/>
      <x:c r="X913" s="38"/>
      <x:c r="Y913" s="38"/>
      <x:c r="Z913" s="38"/>
    </x:row>
    <x:row r="914">
      <x:c r="A914" s="38"/>
      <x:c r="B914" s="38"/>
      <x:c r="C914" s="38"/>
      <x:c r="D914" s="38"/>
      <x:c r="E914" s="38"/>
      <x:c r="F914" s="38"/>
      <x:c r="G914" s="38"/>
      <x:c r="H914" s="38"/>
      <x:c r="I914" s="38"/>
      <x:c r="J914" s="38"/>
      <x:c r="K914" s="38"/>
      <x:c r="L914" s="38"/>
      <x:c r="M914" s="38"/>
      <x:c r="N914" s="38"/>
      <x:c r="O914" s="38"/>
      <x:c r="P914" s="38"/>
      <x:c r="Q914" s="38"/>
      <x:c r="R914" s="38"/>
      <x:c r="S914" s="38"/>
      <x:c r="T914" s="38"/>
      <x:c r="U914" s="38"/>
      <x:c r="V914" s="38"/>
      <x:c r="W914" s="38"/>
      <x:c r="X914" s="38"/>
      <x:c r="Y914" s="38"/>
      <x:c r="Z914" s="38"/>
    </x:row>
    <x:row r="915">
      <x:c r="A915" s="38"/>
      <x:c r="B915" s="38"/>
      <x:c r="C915" s="38"/>
      <x:c r="D915" s="38"/>
      <x:c r="E915" s="38"/>
      <x:c r="F915" s="38"/>
      <x:c r="G915" s="38"/>
      <x:c r="H915" s="38"/>
      <x:c r="I915" s="38"/>
      <x:c r="J915" s="38"/>
      <x:c r="K915" s="38"/>
      <x:c r="L915" s="38"/>
      <x:c r="M915" s="38"/>
      <x:c r="N915" s="38"/>
      <x:c r="O915" s="38"/>
      <x:c r="P915" s="38"/>
      <x:c r="Q915" s="38"/>
      <x:c r="R915" s="38"/>
      <x:c r="S915" s="38"/>
      <x:c r="T915" s="38"/>
      <x:c r="U915" s="38"/>
      <x:c r="V915" s="38"/>
      <x:c r="W915" s="38"/>
      <x:c r="X915" s="38"/>
      <x:c r="Y915" s="38"/>
      <x:c r="Z915" s="38"/>
    </x:row>
    <x:row r="916">
      <x:c r="A916" s="38"/>
      <x:c r="B916" s="38"/>
      <x:c r="C916" s="38"/>
      <x:c r="D916" s="38"/>
      <x:c r="E916" s="38"/>
      <x:c r="F916" s="38"/>
      <x:c r="G916" s="38"/>
      <x:c r="H916" s="38"/>
      <x:c r="I916" s="38"/>
      <x:c r="J916" s="38"/>
      <x:c r="K916" s="38"/>
      <x:c r="L916" s="38"/>
      <x:c r="M916" s="38"/>
      <x:c r="N916" s="38"/>
      <x:c r="O916" s="38"/>
      <x:c r="P916" s="38"/>
      <x:c r="Q916" s="38"/>
      <x:c r="R916" s="38"/>
      <x:c r="S916" s="38"/>
      <x:c r="T916" s="38"/>
      <x:c r="U916" s="38"/>
      <x:c r="V916" s="38"/>
      <x:c r="W916" s="38"/>
      <x:c r="X916" s="38"/>
      <x:c r="Y916" s="38"/>
      <x:c r="Z916" s="38"/>
    </x:row>
    <x:row r="917">
      <x:c r="A917" s="38"/>
      <x:c r="B917" s="38"/>
      <x:c r="C917" s="38"/>
      <x:c r="D917" s="38"/>
      <x:c r="E917" s="38"/>
      <x:c r="F917" s="38"/>
      <x:c r="G917" s="38"/>
      <x:c r="H917" s="38"/>
      <x:c r="I917" s="38"/>
      <x:c r="J917" s="38"/>
      <x:c r="K917" s="38"/>
      <x:c r="L917" s="38"/>
      <x:c r="M917" s="38"/>
      <x:c r="N917" s="38"/>
      <x:c r="O917" s="38"/>
      <x:c r="P917" s="38"/>
      <x:c r="Q917" s="38"/>
      <x:c r="R917" s="38"/>
      <x:c r="S917" s="38"/>
      <x:c r="T917" s="38"/>
      <x:c r="U917" s="38"/>
      <x:c r="V917" s="38"/>
      <x:c r="W917" s="38"/>
      <x:c r="X917" s="38"/>
      <x:c r="Y917" s="38"/>
      <x:c r="Z917" s="38"/>
    </x:row>
    <x:row r="918">
      <x:c r="A918" s="38"/>
      <x:c r="B918" s="38"/>
      <x:c r="C918" s="38"/>
      <x:c r="D918" s="38"/>
      <x:c r="E918" s="38"/>
      <x:c r="F918" s="38"/>
      <x:c r="G918" s="38"/>
      <x:c r="H918" s="38"/>
      <x:c r="I918" s="38"/>
      <x:c r="J918" s="38"/>
      <x:c r="K918" s="38"/>
      <x:c r="L918" s="38"/>
      <x:c r="M918" s="38"/>
      <x:c r="N918" s="38"/>
      <x:c r="O918" s="38"/>
      <x:c r="P918" s="38"/>
      <x:c r="Q918" s="38"/>
      <x:c r="R918" s="38"/>
      <x:c r="S918" s="38"/>
      <x:c r="T918" s="38"/>
      <x:c r="U918" s="38"/>
      <x:c r="V918" s="38"/>
      <x:c r="W918" s="38"/>
      <x:c r="X918" s="38"/>
      <x:c r="Y918" s="38"/>
      <x:c r="Z918" s="38"/>
    </x:row>
    <x:row r="919">
      <x:c r="A919" s="38"/>
      <x:c r="B919" s="38"/>
      <x:c r="C919" s="38"/>
      <x:c r="D919" s="38"/>
      <x:c r="E919" s="38"/>
      <x:c r="F919" s="38"/>
      <x:c r="G919" s="38"/>
      <x:c r="H919" s="38"/>
      <x:c r="I919" s="38"/>
      <x:c r="J919" s="38"/>
      <x:c r="K919" s="38"/>
      <x:c r="L919" s="38"/>
      <x:c r="M919" s="38"/>
      <x:c r="N919" s="38"/>
      <x:c r="O919" s="38"/>
      <x:c r="P919" s="38"/>
      <x:c r="Q919" s="38"/>
      <x:c r="R919" s="38"/>
      <x:c r="S919" s="38"/>
      <x:c r="T919" s="38"/>
      <x:c r="U919" s="38"/>
      <x:c r="V919" s="38"/>
      <x:c r="W919" s="38"/>
      <x:c r="X919" s="38"/>
      <x:c r="Y919" s="38"/>
      <x:c r="Z919" s="38"/>
    </x:row>
    <x:row r="920">
      <x:c r="A920" s="38"/>
      <x:c r="B920" s="38"/>
      <x:c r="C920" s="38"/>
      <x:c r="D920" s="38"/>
      <x:c r="E920" s="38"/>
      <x:c r="F920" s="38"/>
      <x:c r="G920" s="38"/>
      <x:c r="H920" s="38"/>
      <x:c r="I920" s="38"/>
      <x:c r="J920" s="38"/>
      <x:c r="K920" s="38"/>
      <x:c r="L920" s="38"/>
      <x:c r="M920" s="38"/>
      <x:c r="N920" s="38"/>
      <x:c r="O920" s="38"/>
      <x:c r="P920" s="38"/>
      <x:c r="Q920" s="38"/>
      <x:c r="R920" s="38"/>
      <x:c r="S920" s="38"/>
      <x:c r="T920" s="38"/>
      <x:c r="U920" s="38"/>
      <x:c r="V920" s="38"/>
      <x:c r="W920" s="38"/>
      <x:c r="X920" s="38"/>
      <x:c r="Y920" s="38"/>
      <x:c r="Z920" s="38"/>
    </x:row>
    <x:row r="921">
      <x:c r="A921" s="38"/>
      <x:c r="B921" s="38"/>
      <x:c r="C921" s="38"/>
      <x:c r="D921" s="38"/>
      <x:c r="E921" s="38"/>
      <x:c r="F921" s="38"/>
      <x:c r="G921" s="38"/>
      <x:c r="H921" s="38"/>
      <x:c r="I921" s="38"/>
      <x:c r="J921" s="38"/>
      <x:c r="K921" s="38"/>
      <x:c r="L921" s="38"/>
      <x:c r="M921" s="38"/>
      <x:c r="N921" s="38"/>
      <x:c r="O921" s="38"/>
      <x:c r="P921" s="38"/>
      <x:c r="Q921" s="38"/>
      <x:c r="R921" s="38"/>
      <x:c r="S921" s="38"/>
      <x:c r="T921" s="38"/>
      <x:c r="U921" s="38"/>
      <x:c r="V921" s="38"/>
      <x:c r="W921" s="38"/>
      <x:c r="X921" s="38"/>
      <x:c r="Y921" s="38"/>
      <x:c r="Z921" s="38"/>
    </x:row>
    <x:row r="922">
      <x:c r="A922" s="38"/>
      <x:c r="B922" s="38"/>
      <x:c r="C922" s="38"/>
      <x:c r="D922" s="38"/>
      <x:c r="E922" s="38"/>
      <x:c r="F922" s="38"/>
      <x:c r="G922" s="38"/>
      <x:c r="H922" s="38"/>
      <x:c r="I922" s="38"/>
      <x:c r="J922" s="38"/>
      <x:c r="K922" s="38"/>
      <x:c r="L922" s="38"/>
      <x:c r="M922" s="38"/>
      <x:c r="N922" s="38"/>
      <x:c r="O922" s="38"/>
      <x:c r="P922" s="38"/>
      <x:c r="Q922" s="38"/>
      <x:c r="R922" s="38"/>
      <x:c r="S922" s="38"/>
      <x:c r="T922" s="38"/>
      <x:c r="U922" s="38"/>
      <x:c r="V922" s="38"/>
      <x:c r="W922" s="38"/>
      <x:c r="X922" s="38"/>
      <x:c r="Y922" s="38"/>
      <x:c r="Z922" s="38"/>
    </x:row>
    <x:row r="923">
      <x:c r="A923" s="38"/>
      <x:c r="B923" s="38"/>
      <x:c r="C923" s="38"/>
      <x:c r="D923" s="38"/>
      <x:c r="E923" s="38"/>
      <x:c r="F923" s="38"/>
      <x:c r="G923" s="38"/>
      <x:c r="H923" s="38"/>
      <x:c r="I923" s="38"/>
      <x:c r="J923" s="38"/>
      <x:c r="K923" s="38"/>
      <x:c r="L923" s="38"/>
      <x:c r="M923" s="38"/>
      <x:c r="N923" s="38"/>
      <x:c r="O923" s="38"/>
      <x:c r="P923" s="38"/>
      <x:c r="Q923" s="38"/>
      <x:c r="R923" s="38"/>
      <x:c r="S923" s="38"/>
      <x:c r="T923" s="38"/>
      <x:c r="U923" s="38"/>
      <x:c r="V923" s="38"/>
      <x:c r="W923" s="38"/>
      <x:c r="X923" s="38"/>
      <x:c r="Y923" s="38"/>
      <x:c r="Z923" s="38"/>
    </x:row>
    <x:row r="924">
      <x:c r="A924" s="38"/>
      <x:c r="B924" s="38"/>
      <x:c r="C924" s="38"/>
      <x:c r="D924" s="38"/>
      <x:c r="E924" s="38"/>
      <x:c r="F924" s="38"/>
      <x:c r="G924" s="38"/>
      <x:c r="H924" s="38"/>
      <x:c r="I924" s="38"/>
      <x:c r="J924" s="38"/>
      <x:c r="K924" s="38"/>
      <x:c r="L924" s="38"/>
      <x:c r="M924" s="38"/>
      <x:c r="N924" s="38"/>
      <x:c r="O924" s="38"/>
      <x:c r="P924" s="38"/>
      <x:c r="Q924" s="38"/>
      <x:c r="R924" s="38"/>
      <x:c r="S924" s="38"/>
      <x:c r="T924" s="38"/>
      <x:c r="U924" s="38"/>
      <x:c r="V924" s="38"/>
      <x:c r="W924" s="38"/>
      <x:c r="X924" s="38"/>
      <x:c r="Y924" s="38"/>
      <x:c r="Z924" s="38"/>
    </x:row>
    <x:row r="925">
      <x:c r="A925" s="38"/>
      <x:c r="B925" s="38"/>
      <x:c r="C925" s="38"/>
      <x:c r="D925" s="38"/>
      <x:c r="E925" s="38"/>
      <x:c r="F925" s="38"/>
      <x:c r="G925" s="38"/>
      <x:c r="H925" s="38"/>
      <x:c r="I925" s="38"/>
      <x:c r="J925" s="38"/>
      <x:c r="K925" s="38"/>
      <x:c r="L925" s="38"/>
      <x:c r="M925" s="38"/>
      <x:c r="N925" s="38"/>
      <x:c r="O925" s="38"/>
      <x:c r="P925" s="38"/>
      <x:c r="Q925" s="38"/>
      <x:c r="R925" s="38"/>
      <x:c r="S925" s="38"/>
      <x:c r="T925" s="38"/>
      <x:c r="U925" s="38"/>
      <x:c r="V925" s="38"/>
      <x:c r="W925" s="38"/>
      <x:c r="X925" s="38"/>
      <x:c r="Y925" s="38"/>
      <x:c r="Z925" s="38"/>
    </x:row>
    <x:row r="926">
      <x:c r="A926" s="38"/>
      <x:c r="B926" s="38"/>
      <x:c r="C926" s="38"/>
      <x:c r="D926" s="38"/>
      <x:c r="E926" s="38"/>
      <x:c r="F926" s="38"/>
      <x:c r="G926" s="38"/>
      <x:c r="H926" s="38"/>
      <x:c r="I926" s="38"/>
      <x:c r="J926" s="38"/>
      <x:c r="K926" s="38"/>
      <x:c r="L926" s="38"/>
      <x:c r="M926" s="38"/>
      <x:c r="N926" s="38"/>
      <x:c r="O926" s="38"/>
      <x:c r="P926" s="38"/>
      <x:c r="Q926" s="38"/>
      <x:c r="R926" s="38"/>
      <x:c r="S926" s="38"/>
      <x:c r="T926" s="38"/>
      <x:c r="U926" s="38"/>
      <x:c r="V926" s="38"/>
      <x:c r="W926" s="38"/>
      <x:c r="X926" s="38"/>
      <x:c r="Y926" s="38"/>
      <x:c r="Z926" s="38"/>
    </x:row>
    <x:row r="927">
      <x:c r="A927" s="38"/>
      <x:c r="B927" s="38"/>
      <x:c r="C927" s="38"/>
      <x:c r="D927" s="38"/>
      <x:c r="E927" s="38"/>
      <x:c r="F927" s="38"/>
      <x:c r="G927" s="38"/>
      <x:c r="H927" s="38"/>
      <x:c r="I927" s="38"/>
      <x:c r="J927" s="38"/>
      <x:c r="K927" s="38"/>
      <x:c r="L927" s="38"/>
      <x:c r="M927" s="38"/>
      <x:c r="N927" s="38"/>
      <x:c r="O927" s="38"/>
      <x:c r="P927" s="38"/>
      <x:c r="Q927" s="38"/>
      <x:c r="R927" s="38"/>
      <x:c r="S927" s="38"/>
      <x:c r="T927" s="38"/>
      <x:c r="U927" s="38"/>
      <x:c r="V927" s="38"/>
      <x:c r="W927" s="38"/>
      <x:c r="X927" s="38"/>
      <x:c r="Y927" s="38"/>
      <x:c r="Z927" s="38"/>
    </x:row>
    <x:row r="928">
      <x:c r="A928" s="38"/>
      <x:c r="B928" s="38"/>
      <x:c r="C928" s="38"/>
      <x:c r="D928" s="38"/>
      <x:c r="E928" s="38"/>
      <x:c r="F928" s="38"/>
      <x:c r="G928" s="38"/>
      <x:c r="H928" s="38"/>
      <x:c r="I928" s="38"/>
      <x:c r="J928" s="38"/>
      <x:c r="K928" s="38"/>
      <x:c r="L928" s="38"/>
      <x:c r="M928" s="38"/>
      <x:c r="N928" s="38"/>
      <x:c r="O928" s="38"/>
      <x:c r="P928" s="38"/>
      <x:c r="Q928" s="38"/>
      <x:c r="R928" s="38"/>
      <x:c r="S928" s="38"/>
      <x:c r="T928" s="38"/>
      <x:c r="U928" s="38"/>
      <x:c r="V928" s="38"/>
      <x:c r="W928" s="38"/>
      <x:c r="X928" s="38"/>
      <x:c r="Y928" s="38"/>
      <x:c r="Z928" s="38"/>
    </x:row>
    <x:row r="929">
      <x:c r="A929" s="38"/>
      <x:c r="B929" s="38"/>
      <x:c r="C929" s="38"/>
      <x:c r="D929" s="38"/>
      <x:c r="E929" s="38"/>
      <x:c r="F929" s="38"/>
      <x:c r="G929" s="38"/>
      <x:c r="H929" s="38"/>
      <x:c r="I929" s="38"/>
      <x:c r="J929" s="38"/>
      <x:c r="K929" s="38"/>
      <x:c r="L929" s="38"/>
      <x:c r="M929" s="38"/>
      <x:c r="N929" s="38"/>
      <x:c r="O929" s="38"/>
      <x:c r="P929" s="38"/>
      <x:c r="Q929" s="38"/>
      <x:c r="R929" s="38"/>
      <x:c r="S929" s="38"/>
      <x:c r="T929" s="38"/>
      <x:c r="U929" s="38"/>
      <x:c r="V929" s="38"/>
      <x:c r="W929" s="38"/>
      <x:c r="X929" s="38"/>
      <x:c r="Y929" s="38"/>
      <x:c r="Z929" s="38"/>
    </x:row>
    <x:row r="930">
      <x:c r="A930" s="38"/>
      <x:c r="B930" s="38"/>
      <x:c r="C930" s="38"/>
      <x:c r="D930" s="38"/>
      <x:c r="E930" s="38"/>
      <x:c r="F930" s="38"/>
      <x:c r="G930" s="38"/>
      <x:c r="H930" s="38"/>
      <x:c r="I930" s="38"/>
      <x:c r="J930" s="38"/>
      <x:c r="K930" s="38"/>
      <x:c r="L930" s="38"/>
      <x:c r="M930" s="38"/>
      <x:c r="N930" s="38"/>
      <x:c r="O930" s="38"/>
      <x:c r="P930" s="38"/>
      <x:c r="Q930" s="38"/>
      <x:c r="R930" s="38"/>
      <x:c r="S930" s="38"/>
      <x:c r="T930" s="38"/>
      <x:c r="U930" s="38"/>
      <x:c r="V930" s="38"/>
      <x:c r="W930" s="38"/>
      <x:c r="X930" s="38"/>
      <x:c r="Y930" s="38"/>
      <x:c r="Z930" s="38"/>
    </x:row>
    <x:row r="931">
      <x:c r="A931" s="38"/>
      <x:c r="B931" s="38"/>
      <x:c r="C931" s="38"/>
      <x:c r="D931" s="38"/>
      <x:c r="E931" s="38"/>
      <x:c r="F931" s="38"/>
      <x:c r="G931" s="38"/>
      <x:c r="H931" s="38"/>
      <x:c r="I931" s="38"/>
      <x:c r="J931" s="38"/>
      <x:c r="K931" s="38"/>
      <x:c r="L931" s="38"/>
      <x:c r="M931" s="38"/>
      <x:c r="N931" s="38"/>
      <x:c r="O931" s="38"/>
      <x:c r="P931" s="38"/>
      <x:c r="Q931" s="38"/>
      <x:c r="R931" s="38"/>
      <x:c r="S931" s="38"/>
      <x:c r="T931" s="38"/>
      <x:c r="U931" s="38"/>
      <x:c r="V931" s="38"/>
      <x:c r="W931" s="38"/>
      <x:c r="X931" s="38"/>
      <x:c r="Y931" s="38"/>
      <x:c r="Z931" s="38"/>
    </x:row>
    <x:row r="932">
      <x:c r="A932" s="38"/>
      <x:c r="B932" s="38"/>
      <x:c r="C932" s="38"/>
      <x:c r="D932" s="38"/>
      <x:c r="E932" s="38"/>
      <x:c r="F932" s="38"/>
      <x:c r="G932" s="38"/>
      <x:c r="H932" s="38"/>
      <x:c r="I932" s="38"/>
      <x:c r="J932" s="38"/>
      <x:c r="K932" s="38"/>
      <x:c r="L932" s="38"/>
      <x:c r="M932" s="38"/>
      <x:c r="N932" s="38"/>
      <x:c r="O932" s="38"/>
      <x:c r="P932" s="38"/>
      <x:c r="Q932" s="38"/>
      <x:c r="R932" s="38"/>
      <x:c r="S932" s="38"/>
      <x:c r="T932" s="38"/>
      <x:c r="U932" s="38"/>
      <x:c r="V932" s="38"/>
      <x:c r="W932" s="38"/>
      <x:c r="X932" s="38"/>
      <x:c r="Y932" s="38"/>
      <x:c r="Z932" s="38"/>
    </x:row>
    <x:row r="933">
      <x:c r="A933" s="38"/>
      <x:c r="B933" s="38"/>
      <x:c r="C933" s="38"/>
      <x:c r="D933" s="38"/>
      <x:c r="E933" s="38"/>
      <x:c r="F933" s="38"/>
      <x:c r="G933" s="38"/>
      <x:c r="H933" s="38"/>
      <x:c r="I933" s="38"/>
      <x:c r="J933" s="38"/>
      <x:c r="K933" s="38"/>
      <x:c r="L933" s="38"/>
      <x:c r="M933" s="38"/>
      <x:c r="N933" s="38"/>
      <x:c r="O933" s="38"/>
      <x:c r="P933" s="38"/>
      <x:c r="Q933" s="38"/>
      <x:c r="R933" s="38"/>
      <x:c r="S933" s="38"/>
      <x:c r="T933" s="38"/>
      <x:c r="U933" s="38"/>
      <x:c r="V933" s="38"/>
      <x:c r="W933" s="38"/>
      <x:c r="X933" s="38"/>
      <x:c r="Y933" s="38"/>
      <x:c r="Z933" s="38"/>
    </x:row>
    <x:row r="934">
      <x:c r="A934" s="38"/>
      <x:c r="B934" s="38"/>
      <x:c r="C934" s="38"/>
      <x:c r="D934" s="38"/>
      <x:c r="E934" s="38"/>
      <x:c r="F934" s="38"/>
      <x:c r="G934" s="38"/>
      <x:c r="H934" s="38"/>
      <x:c r="I934" s="38"/>
      <x:c r="J934" s="38"/>
      <x:c r="K934" s="38"/>
      <x:c r="L934" s="38"/>
      <x:c r="M934" s="38"/>
      <x:c r="N934" s="38"/>
      <x:c r="O934" s="38"/>
      <x:c r="P934" s="38"/>
      <x:c r="Q934" s="38"/>
      <x:c r="R934" s="38"/>
      <x:c r="S934" s="38"/>
      <x:c r="T934" s="38"/>
      <x:c r="U934" s="38"/>
      <x:c r="V934" s="38"/>
      <x:c r="W934" s="38"/>
      <x:c r="X934" s="38"/>
      <x:c r="Y934" s="38"/>
      <x:c r="Z934" s="38"/>
    </x:row>
    <x:row r="935">
      <x:c r="A935" s="38"/>
      <x:c r="B935" s="38"/>
      <x:c r="C935" s="38"/>
      <x:c r="D935" s="38"/>
      <x:c r="E935" s="38"/>
      <x:c r="F935" s="38"/>
      <x:c r="G935" s="38"/>
      <x:c r="H935" s="38"/>
      <x:c r="I935" s="38"/>
      <x:c r="J935" s="38"/>
      <x:c r="K935" s="38"/>
      <x:c r="L935" s="38"/>
      <x:c r="M935" s="38"/>
      <x:c r="N935" s="38"/>
      <x:c r="O935" s="38"/>
      <x:c r="P935" s="38"/>
      <x:c r="Q935" s="38"/>
      <x:c r="R935" s="38"/>
      <x:c r="S935" s="38"/>
      <x:c r="T935" s="38"/>
      <x:c r="U935" s="38"/>
      <x:c r="V935" s="38"/>
      <x:c r="W935" s="38"/>
      <x:c r="X935" s="38"/>
      <x:c r="Y935" s="38"/>
      <x:c r="Z935" s="38"/>
    </x:row>
    <x:row r="936">
      <x:c r="A936" s="38"/>
      <x:c r="B936" s="38"/>
      <x:c r="C936" s="38"/>
      <x:c r="D936" s="38"/>
      <x:c r="E936" s="38"/>
      <x:c r="F936" s="38"/>
      <x:c r="G936" s="38"/>
      <x:c r="H936" s="38"/>
      <x:c r="I936" s="38"/>
      <x:c r="J936" s="38"/>
      <x:c r="K936" s="38"/>
      <x:c r="L936" s="38"/>
      <x:c r="M936" s="38"/>
      <x:c r="N936" s="38"/>
      <x:c r="O936" s="38"/>
      <x:c r="P936" s="38"/>
      <x:c r="Q936" s="38"/>
      <x:c r="R936" s="38"/>
      <x:c r="S936" s="38"/>
      <x:c r="T936" s="38"/>
      <x:c r="U936" s="38"/>
      <x:c r="V936" s="38"/>
      <x:c r="W936" s="38"/>
      <x:c r="X936" s="38"/>
      <x:c r="Y936" s="38"/>
      <x:c r="Z936" s="38"/>
    </x:row>
    <x:row r="937">
      <x:c r="A937" s="38"/>
      <x:c r="B937" s="38"/>
      <x:c r="C937" s="38"/>
      <x:c r="D937" s="38"/>
      <x:c r="E937" s="38"/>
      <x:c r="F937" s="38"/>
      <x:c r="G937" s="38"/>
      <x:c r="H937" s="38"/>
      <x:c r="I937" s="38"/>
      <x:c r="J937" s="38"/>
      <x:c r="K937" s="38"/>
      <x:c r="L937" s="38"/>
      <x:c r="M937" s="38"/>
      <x:c r="N937" s="38"/>
      <x:c r="O937" s="38"/>
      <x:c r="P937" s="38"/>
      <x:c r="Q937" s="38"/>
      <x:c r="R937" s="38"/>
      <x:c r="S937" s="38"/>
      <x:c r="T937" s="38"/>
      <x:c r="U937" s="38"/>
      <x:c r="V937" s="38"/>
      <x:c r="W937" s="38"/>
      <x:c r="X937" s="38"/>
      <x:c r="Y937" s="38"/>
      <x:c r="Z937" s="38"/>
    </x:row>
    <x:row r="938">
      <x:c r="A938" s="38"/>
      <x:c r="B938" s="38"/>
      <x:c r="C938" s="38"/>
      <x:c r="D938" s="38"/>
      <x:c r="E938" s="38"/>
      <x:c r="F938" s="38"/>
      <x:c r="G938" s="38"/>
      <x:c r="H938" s="38"/>
      <x:c r="I938" s="38"/>
      <x:c r="J938" s="38"/>
      <x:c r="K938" s="38"/>
      <x:c r="L938" s="38"/>
      <x:c r="M938" s="38"/>
      <x:c r="N938" s="38"/>
      <x:c r="O938" s="38"/>
      <x:c r="P938" s="38"/>
      <x:c r="Q938" s="38"/>
      <x:c r="R938" s="38"/>
      <x:c r="S938" s="38"/>
      <x:c r="T938" s="38"/>
      <x:c r="U938" s="38"/>
      <x:c r="V938" s="38"/>
      <x:c r="W938" s="38"/>
      <x:c r="X938" s="38"/>
      <x:c r="Y938" s="38"/>
      <x:c r="Z938" s="38"/>
    </x:row>
    <x:row r="939">
      <x:c r="A939" s="38"/>
      <x:c r="B939" s="38"/>
      <x:c r="C939" s="38"/>
      <x:c r="D939" s="38"/>
      <x:c r="E939" s="38"/>
      <x:c r="F939" s="38"/>
      <x:c r="G939" s="38"/>
      <x:c r="H939" s="38"/>
      <x:c r="I939" s="38"/>
      <x:c r="J939" s="38"/>
      <x:c r="K939" s="38"/>
      <x:c r="L939" s="38"/>
      <x:c r="M939" s="38"/>
      <x:c r="N939" s="38"/>
      <x:c r="O939" s="38"/>
      <x:c r="P939" s="38"/>
      <x:c r="Q939" s="38"/>
      <x:c r="R939" s="38"/>
      <x:c r="S939" s="38"/>
      <x:c r="T939" s="38"/>
      <x:c r="U939" s="38"/>
      <x:c r="V939" s="38"/>
      <x:c r="W939" s="38"/>
      <x:c r="X939" s="38"/>
      <x:c r="Y939" s="38"/>
      <x:c r="Z939" s="38"/>
    </x:row>
    <x:row r="940">
      <x:c r="A940" s="38"/>
      <x:c r="B940" s="38"/>
      <x:c r="C940" s="38"/>
      <x:c r="D940" s="38"/>
      <x:c r="E940" s="38"/>
      <x:c r="F940" s="38"/>
      <x:c r="G940" s="38"/>
      <x:c r="H940" s="38"/>
      <x:c r="I940" s="38"/>
      <x:c r="J940" s="38"/>
      <x:c r="K940" s="38"/>
      <x:c r="L940" s="38"/>
      <x:c r="M940" s="38"/>
      <x:c r="N940" s="38"/>
      <x:c r="O940" s="38"/>
      <x:c r="P940" s="38"/>
      <x:c r="Q940" s="38"/>
      <x:c r="R940" s="38"/>
      <x:c r="S940" s="38"/>
      <x:c r="T940" s="38"/>
      <x:c r="U940" s="38"/>
      <x:c r="V940" s="38"/>
      <x:c r="W940" s="38"/>
      <x:c r="X940" s="38"/>
      <x:c r="Y940" s="38"/>
      <x:c r="Z940" s="38"/>
    </x:row>
    <x:row r="941">
      <x:c r="A941" s="38"/>
      <x:c r="B941" s="38"/>
      <x:c r="C941" s="38"/>
      <x:c r="D941" s="38"/>
      <x:c r="E941" s="38"/>
      <x:c r="F941" s="38"/>
      <x:c r="G941" s="38"/>
      <x:c r="H941" s="38"/>
      <x:c r="I941" s="38"/>
      <x:c r="J941" s="38"/>
      <x:c r="K941" s="38"/>
      <x:c r="L941" s="38"/>
      <x:c r="M941" s="38"/>
      <x:c r="N941" s="38"/>
      <x:c r="O941" s="38"/>
      <x:c r="P941" s="38"/>
      <x:c r="Q941" s="38"/>
      <x:c r="R941" s="38"/>
      <x:c r="S941" s="38"/>
      <x:c r="T941" s="38"/>
      <x:c r="U941" s="38"/>
      <x:c r="V941" s="38"/>
      <x:c r="W941" s="38"/>
      <x:c r="X941" s="38"/>
      <x:c r="Y941" s="38"/>
      <x:c r="Z941" s="38"/>
    </x:row>
    <x:row r="942">
      <x:c r="A942" s="38"/>
      <x:c r="B942" s="38"/>
      <x:c r="C942" s="38"/>
      <x:c r="D942" s="38"/>
      <x:c r="E942" s="38"/>
      <x:c r="F942" s="38"/>
      <x:c r="G942" s="38"/>
      <x:c r="H942" s="38"/>
      <x:c r="I942" s="38"/>
      <x:c r="J942" s="38"/>
      <x:c r="K942" s="38"/>
      <x:c r="L942" s="38"/>
      <x:c r="M942" s="38"/>
      <x:c r="N942" s="38"/>
      <x:c r="O942" s="38"/>
      <x:c r="P942" s="38"/>
      <x:c r="Q942" s="38"/>
      <x:c r="R942" s="38"/>
      <x:c r="S942" s="38"/>
      <x:c r="T942" s="38"/>
      <x:c r="U942" s="38"/>
      <x:c r="V942" s="38"/>
      <x:c r="W942" s="38"/>
      <x:c r="X942" s="38"/>
      <x:c r="Y942" s="38"/>
      <x:c r="Z942" s="38"/>
    </x:row>
    <x:row r="943">
      <x:c r="A943" s="38"/>
      <x:c r="B943" s="38"/>
      <x:c r="C943" s="38"/>
      <x:c r="D943" s="38"/>
      <x:c r="E943" s="38"/>
      <x:c r="F943" s="38"/>
      <x:c r="G943" s="38"/>
      <x:c r="H943" s="38"/>
      <x:c r="I943" s="38"/>
      <x:c r="J943" s="38"/>
      <x:c r="K943" s="38"/>
      <x:c r="L943" s="38"/>
      <x:c r="M943" s="38"/>
      <x:c r="N943" s="38"/>
      <x:c r="O943" s="38"/>
      <x:c r="P943" s="38"/>
      <x:c r="Q943" s="38"/>
      <x:c r="R943" s="38"/>
      <x:c r="S943" s="38"/>
      <x:c r="T943" s="38"/>
      <x:c r="U943" s="38"/>
      <x:c r="V943" s="38"/>
      <x:c r="W943" s="38"/>
      <x:c r="X943" s="38"/>
      <x:c r="Y943" s="38"/>
      <x:c r="Z943" s="38"/>
    </x:row>
    <x:row r="944">
      <x:c r="A944" s="38"/>
      <x:c r="B944" s="38"/>
      <x:c r="C944" s="38"/>
      <x:c r="D944" s="38"/>
      <x:c r="E944" s="38"/>
      <x:c r="F944" s="38"/>
      <x:c r="G944" s="38"/>
      <x:c r="H944" s="38"/>
      <x:c r="I944" s="38"/>
      <x:c r="J944" s="38"/>
      <x:c r="K944" s="38"/>
      <x:c r="L944" s="38"/>
      <x:c r="M944" s="38"/>
      <x:c r="N944" s="38"/>
      <x:c r="O944" s="38"/>
      <x:c r="P944" s="38"/>
      <x:c r="Q944" s="38"/>
      <x:c r="R944" s="38"/>
      <x:c r="S944" s="38"/>
      <x:c r="T944" s="38"/>
      <x:c r="U944" s="38"/>
      <x:c r="V944" s="38"/>
      <x:c r="W944" s="38"/>
      <x:c r="X944" s="38"/>
      <x:c r="Y944" s="38"/>
      <x:c r="Z944" s="38"/>
    </x:row>
    <x:row r="945">
      <x:c r="A945" s="38"/>
      <x:c r="B945" s="38"/>
      <x:c r="C945" s="38"/>
      <x:c r="D945" s="38"/>
      <x:c r="E945" s="38"/>
      <x:c r="F945" s="38"/>
      <x:c r="G945" s="38"/>
      <x:c r="H945" s="38"/>
      <x:c r="I945" s="38"/>
      <x:c r="J945" s="38"/>
      <x:c r="K945" s="38"/>
      <x:c r="L945" s="38"/>
      <x:c r="M945" s="38"/>
      <x:c r="N945" s="38"/>
      <x:c r="O945" s="38"/>
      <x:c r="P945" s="38"/>
      <x:c r="Q945" s="38"/>
      <x:c r="R945" s="38"/>
      <x:c r="S945" s="38"/>
      <x:c r="T945" s="38"/>
      <x:c r="U945" s="38"/>
      <x:c r="V945" s="38"/>
      <x:c r="W945" s="38"/>
      <x:c r="X945" s="38"/>
      <x:c r="Y945" s="38"/>
      <x:c r="Z945" s="38"/>
    </x:row>
    <x:row r="946">
      <x:c r="A946" s="38"/>
      <x:c r="B946" s="38"/>
      <x:c r="C946" s="38"/>
      <x:c r="D946" s="38"/>
      <x:c r="E946" s="38"/>
      <x:c r="F946" s="38"/>
      <x:c r="G946" s="38"/>
      <x:c r="H946" s="38"/>
      <x:c r="I946" s="38"/>
      <x:c r="J946" s="38"/>
      <x:c r="K946" s="38"/>
      <x:c r="L946" s="38"/>
      <x:c r="M946" s="38"/>
      <x:c r="N946" s="38"/>
      <x:c r="O946" s="38"/>
      <x:c r="P946" s="38"/>
      <x:c r="Q946" s="38"/>
      <x:c r="R946" s="38"/>
      <x:c r="S946" s="38"/>
      <x:c r="T946" s="38"/>
      <x:c r="U946" s="38"/>
      <x:c r="V946" s="38"/>
      <x:c r="W946" s="38"/>
      <x:c r="X946" s="38"/>
      <x:c r="Y946" s="38"/>
      <x:c r="Z946" s="38"/>
    </x:row>
    <x:row r="947">
      <x:c r="A947" s="38"/>
      <x:c r="B947" s="38"/>
      <x:c r="C947" s="38"/>
      <x:c r="D947" s="38"/>
      <x:c r="E947" s="38"/>
      <x:c r="F947" s="38"/>
      <x:c r="G947" s="38"/>
      <x:c r="H947" s="38"/>
      <x:c r="I947" s="38"/>
      <x:c r="J947" s="38"/>
      <x:c r="K947" s="38"/>
      <x:c r="L947" s="38"/>
      <x:c r="M947" s="38"/>
      <x:c r="N947" s="38"/>
      <x:c r="O947" s="38"/>
      <x:c r="P947" s="38"/>
      <x:c r="Q947" s="38"/>
      <x:c r="R947" s="38"/>
      <x:c r="S947" s="38"/>
      <x:c r="T947" s="38"/>
      <x:c r="U947" s="38"/>
      <x:c r="V947" s="38"/>
      <x:c r="W947" s="38"/>
      <x:c r="X947" s="38"/>
      <x:c r="Y947" s="38"/>
      <x:c r="Z947" s="38"/>
    </x:row>
    <x:row r="948">
      <x:c r="A948" s="38"/>
      <x:c r="B948" s="38"/>
      <x:c r="C948" s="38"/>
      <x:c r="D948" s="38"/>
      <x:c r="E948" s="38"/>
      <x:c r="F948" s="38"/>
      <x:c r="G948" s="38"/>
      <x:c r="H948" s="38"/>
      <x:c r="I948" s="38"/>
      <x:c r="J948" s="38"/>
      <x:c r="K948" s="38"/>
      <x:c r="L948" s="38"/>
      <x:c r="M948" s="38"/>
      <x:c r="N948" s="38"/>
      <x:c r="O948" s="38"/>
      <x:c r="P948" s="38"/>
      <x:c r="Q948" s="38"/>
      <x:c r="R948" s="38"/>
      <x:c r="S948" s="38"/>
      <x:c r="T948" s="38"/>
      <x:c r="U948" s="38"/>
      <x:c r="V948" s="38"/>
      <x:c r="W948" s="38"/>
      <x:c r="X948" s="38"/>
      <x:c r="Y948" s="38"/>
      <x:c r="Z948" s="38"/>
    </x:row>
    <x:row r="949">
      <x:c r="A949" s="38"/>
      <x:c r="B949" s="38"/>
      <x:c r="C949" s="38"/>
      <x:c r="D949" s="38"/>
      <x:c r="E949" s="38"/>
      <x:c r="F949" s="38"/>
      <x:c r="G949" s="38"/>
      <x:c r="H949" s="38"/>
      <x:c r="I949" s="38"/>
      <x:c r="J949" s="38"/>
      <x:c r="K949" s="38"/>
      <x:c r="L949" s="38"/>
      <x:c r="M949" s="38"/>
      <x:c r="N949" s="38"/>
      <x:c r="O949" s="38"/>
      <x:c r="P949" s="38"/>
      <x:c r="Q949" s="38"/>
      <x:c r="R949" s="38"/>
      <x:c r="S949" s="38"/>
      <x:c r="T949" s="38"/>
      <x:c r="U949" s="38"/>
      <x:c r="V949" s="38"/>
      <x:c r="W949" s="38"/>
      <x:c r="X949" s="38"/>
      <x:c r="Y949" s="38"/>
      <x:c r="Z949" s="38"/>
    </x:row>
    <x:row r="950">
      <x:c r="A950" s="38"/>
      <x:c r="B950" s="38"/>
      <x:c r="C950" s="38"/>
      <x:c r="D950" s="38"/>
      <x:c r="E950" s="38"/>
      <x:c r="F950" s="38"/>
      <x:c r="G950" s="38"/>
      <x:c r="H950" s="38"/>
      <x:c r="I950" s="38"/>
      <x:c r="J950" s="38"/>
      <x:c r="K950" s="38"/>
      <x:c r="L950" s="38"/>
      <x:c r="M950" s="38"/>
      <x:c r="N950" s="38"/>
      <x:c r="O950" s="38"/>
      <x:c r="P950" s="38"/>
      <x:c r="Q950" s="38"/>
      <x:c r="R950" s="38"/>
      <x:c r="S950" s="38"/>
      <x:c r="T950" s="38"/>
      <x:c r="U950" s="38"/>
      <x:c r="V950" s="38"/>
      <x:c r="W950" s="38"/>
      <x:c r="X950" s="38"/>
      <x:c r="Y950" s="38"/>
      <x:c r="Z950" s="38"/>
    </x:row>
    <x:row r="951">
      <x:c r="A951" s="38"/>
      <x:c r="B951" s="38"/>
      <x:c r="C951" s="38"/>
      <x:c r="D951" s="38"/>
      <x:c r="E951" s="38"/>
      <x:c r="F951" s="38"/>
      <x:c r="G951" s="38"/>
      <x:c r="H951" s="38"/>
      <x:c r="I951" s="38"/>
      <x:c r="J951" s="38"/>
      <x:c r="K951" s="38"/>
      <x:c r="L951" s="38"/>
      <x:c r="M951" s="38"/>
      <x:c r="N951" s="38"/>
      <x:c r="O951" s="38"/>
      <x:c r="P951" s="38"/>
      <x:c r="Q951" s="38"/>
      <x:c r="R951" s="38"/>
      <x:c r="S951" s="38"/>
      <x:c r="T951" s="38"/>
      <x:c r="U951" s="38"/>
      <x:c r="V951" s="38"/>
      <x:c r="W951" s="38"/>
      <x:c r="X951" s="38"/>
      <x:c r="Y951" s="38"/>
      <x:c r="Z951" s="38"/>
    </x:row>
    <x:row r="952">
      <x:c r="A952" s="38"/>
      <x:c r="B952" s="38"/>
      <x:c r="C952" s="38"/>
      <x:c r="D952" s="38"/>
      <x:c r="E952" s="38"/>
      <x:c r="F952" s="38"/>
      <x:c r="G952" s="38"/>
      <x:c r="H952" s="38"/>
      <x:c r="I952" s="38"/>
      <x:c r="J952" s="38"/>
      <x:c r="K952" s="38"/>
      <x:c r="L952" s="38"/>
      <x:c r="M952" s="38"/>
      <x:c r="N952" s="38"/>
      <x:c r="O952" s="38"/>
      <x:c r="P952" s="38"/>
      <x:c r="Q952" s="38"/>
      <x:c r="R952" s="38"/>
      <x:c r="S952" s="38"/>
      <x:c r="T952" s="38"/>
      <x:c r="U952" s="38"/>
      <x:c r="V952" s="38"/>
      <x:c r="W952" s="38"/>
      <x:c r="X952" s="38"/>
      <x:c r="Y952" s="38"/>
      <x:c r="Z952" s="38"/>
    </x:row>
    <x:row r="953">
      <x:c r="A953" s="38"/>
      <x:c r="B953" s="38"/>
      <x:c r="C953" s="38"/>
      <x:c r="D953" s="38"/>
      <x:c r="E953" s="38"/>
      <x:c r="F953" s="38"/>
      <x:c r="G953" s="38"/>
      <x:c r="H953" s="38"/>
      <x:c r="I953" s="38"/>
      <x:c r="J953" s="38"/>
      <x:c r="K953" s="38"/>
      <x:c r="L953" s="38"/>
      <x:c r="M953" s="38"/>
      <x:c r="N953" s="38"/>
      <x:c r="O953" s="38"/>
      <x:c r="P953" s="38"/>
      <x:c r="Q953" s="38"/>
      <x:c r="R953" s="38"/>
      <x:c r="S953" s="38"/>
      <x:c r="T953" s="38"/>
      <x:c r="U953" s="38"/>
      <x:c r="V953" s="38"/>
      <x:c r="W953" s="38"/>
      <x:c r="X953" s="38"/>
      <x:c r="Y953" s="38"/>
      <x:c r="Z953" s="38"/>
    </x:row>
    <x:row r="954">
      <x:c r="A954" s="38"/>
      <x:c r="B954" s="38"/>
      <x:c r="C954" s="38"/>
      <x:c r="D954" s="38"/>
      <x:c r="E954" s="38"/>
      <x:c r="F954" s="38"/>
      <x:c r="G954" s="38"/>
      <x:c r="H954" s="38"/>
      <x:c r="I954" s="38"/>
      <x:c r="J954" s="38"/>
      <x:c r="K954" s="38"/>
      <x:c r="L954" s="38"/>
      <x:c r="M954" s="38"/>
      <x:c r="N954" s="38"/>
      <x:c r="O954" s="38"/>
      <x:c r="P954" s="38"/>
      <x:c r="Q954" s="38"/>
      <x:c r="R954" s="38"/>
      <x:c r="S954" s="38"/>
      <x:c r="T954" s="38"/>
      <x:c r="U954" s="38"/>
      <x:c r="V954" s="38"/>
      <x:c r="W954" s="38"/>
      <x:c r="X954" s="38"/>
      <x:c r="Y954" s="38"/>
      <x:c r="Z954" s="38"/>
    </x:row>
    <x:row r="955">
      <x:c r="A955" s="38"/>
      <x:c r="B955" s="38"/>
      <x:c r="C955" s="38"/>
      <x:c r="D955" s="38"/>
      <x:c r="E955" s="38"/>
      <x:c r="F955" s="38"/>
      <x:c r="G955" s="38"/>
      <x:c r="H955" s="38"/>
      <x:c r="I955" s="38"/>
      <x:c r="J955" s="38"/>
      <x:c r="K955" s="38"/>
      <x:c r="L955" s="38"/>
      <x:c r="M955" s="38"/>
      <x:c r="N955" s="38"/>
      <x:c r="O955" s="38"/>
      <x:c r="P955" s="38"/>
      <x:c r="Q955" s="38"/>
      <x:c r="R955" s="38"/>
      <x:c r="S955" s="38"/>
      <x:c r="T955" s="38"/>
      <x:c r="U955" s="38"/>
      <x:c r="V955" s="38"/>
      <x:c r="W955" s="38"/>
      <x:c r="X955" s="38"/>
      <x:c r="Y955" s="38"/>
      <x:c r="Z955" s="38"/>
    </x:row>
    <x:row r="956">
      <x:c r="A956" s="38"/>
      <x:c r="B956" s="38"/>
      <x:c r="C956" s="38"/>
      <x:c r="D956" s="38"/>
      <x:c r="E956" s="38"/>
      <x:c r="F956" s="38"/>
      <x:c r="G956" s="38"/>
      <x:c r="H956" s="38"/>
      <x:c r="I956" s="38"/>
      <x:c r="J956" s="38"/>
      <x:c r="K956" s="38"/>
      <x:c r="L956" s="38"/>
      <x:c r="M956" s="38"/>
      <x:c r="N956" s="38"/>
      <x:c r="O956" s="38"/>
      <x:c r="P956" s="38"/>
      <x:c r="Q956" s="38"/>
      <x:c r="R956" s="38"/>
      <x:c r="S956" s="38"/>
      <x:c r="T956" s="38"/>
      <x:c r="U956" s="38"/>
      <x:c r="V956" s="38"/>
      <x:c r="W956" s="38"/>
      <x:c r="X956" s="38"/>
      <x:c r="Y956" s="38"/>
      <x:c r="Z956" s="38"/>
    </x:row>
    <x:row r="957">
      <x:c r="A957" s="38"/>
      <x:c r="B957" s="38"/>
      <x:c r="C957" s="38"/>
      <x:c r="D957" s="38"/>
      <x:c r="E957" s="38"/>
      <x:c r="F957" s="38"/>
      <x:c r="G957" s="38"/>
      <x:c r="H957" s="38"/>
      <x:c r="I957" s="38"/>
      <x:c r="J957" s="38"/>
      <x:c r="K957" s="38"/>
      <x:c r="L957" s="38"/>
      <x:c r="M957" s="38"/>
      <x:c r="N957" s="38"/>
      <x:c r="O957" s="38"/>
      <x:c r="P957" s="38"/>
      <x:c r="Q957" s="38"/>
      <x:c r="R957" s="38"/>
      <x:c r="S957" s="38"/>
      <x:c r="T957" s="38"/>
      <x:c r="U957" s="38"/>
      <x:c r="V957" s="38"/>
      <x:c r="W957" s="38"/>
      <x:c r="X957" s="38"/>
      <x:c r="Y957" s="38"/>
      <x:c r="Z957" s="38"/>
    </x:row>
    <x:row r="958">
      <x:c r="A958" s="38"/>
      <x:c r="B958" s="38"/>
      <x:c r="C958" s="38"/>
      <x:c r="D958" s="38"/>
      <x:c r="E958" s="38"/>
      <x:c r="F958" s="38"/>
      <x:c r="G958" s="38"/>
      <x:c r="H958" s="38"/>
      <x:c r="I958" s="38"/>
      <x:c r="J958" s="38"/>
      <x:c r="K958" s="38"/>
      <x:c r="L958" s="38"/>
      <x:c r="M958" s="38"/>
      <x:c r="N958" s="38"/>
      <x:c r="O958" s="38"/>
      <x:c r="P958" s="38"/>
      <x:c r="Q958" s="38"/>
      <x:c r="R958" s="38"/>
      <x:c r="S958" s="38"/>
      <x:c r="T958" s="38"/>
      <x:c r="U958" s="38"/>
      <x:c r="V958" s="38"/>
      <x:c r="W958" s="38"/>
      <x:c r="X958" s="38"/>
      <x:c r="Y958" s="38"/>
      <x:c r="Z958" s="38"/>
    </x:row>
    <x:row r="959">
      <x:c r="A959" s="38"/>
      <x:c r="B959" s="38"/>
      <x:c r="C959" s="38"/>
      <x:c r="D959" s="38"/>
      <x:c r="E959" s="38"/>
      <x:c r="F959" s="38"/>
      <x:c r="G959" s="38"/>
      <x:c r="H959" s="38"/>
      <x:c r="I959" s="38"/>
      <x:c r="J959" s="38"/>
      <x:c r="K959" s="38"/>
      <x:c r="L959" s="38"/>
      <x:c r="M959" s="38"/>
      <x:c r="N959" s="38"/>
      <x:c r="O959" s="38"/>
      <x:c r="P959" s="38"/>
      <x:c r="Q959" s="38"/>
      <x:c r="R959" s="38"/>
      <x:c r="S959" s="38"/>
      <x:c r="T959" s="38"/>
      <x:c r="U959" s="38"/>
      <x:c r="V959" s="38"/>
      <x:c r="W959" s="38"/>
      <x:c r="X959" s="38"/>
      <x:c r="Y959" s="38"/>
      <x:c r="Z959" s="38"/>
    </x:row>
    <x:row r="960">
      <x:c r="A960" s="38"/>
      <x:c r="B960" s="38"/>
      <x:c r="C960" s="38"/>
      <x:c r="D960" s="38"/>
      <x:c r="E960" s="38"/>
      <x:c r="F960" s="38"/>
      <x:c r="G960" s="38"/>
      <x:c r="H960" s="38"/>
      <x:c r="I960" s="38"/>
      <x:c r="J960" s="38"/>
      <x:c r="K960" s="38"/>
      <x:c r="L960" s="38"/>
      <x:c r="M960" s="38"/>
      <x:c r="N960" s="38"/>
      <x:c r="O960" s="38"/>
      <x:c r="P960" s="38"/>
      <x:c r="Q960" s="38"/>
      <x:c r="R960" s="38"/>
      <x:c r="S960" s="38"/>
      <x:c r="T960" s="38"/>
      <x:c r="U960" s="38"/>
      <x:c r="V960" s="38"/>
      <x:c r="W960" s="38"/>
      <x:c r="X960" s="38"/>
      <x:c r="Y960" s="38"/>
      <x:c r="Z960" s="38"/>
    </x:row>
    <x:row r="961">
      <x:c r="A961" s="38"/>
      <x:c r="B961" s="38"/>
      <x:c r="C961" s="38"/>
      <x:c r="D961" s="38"/>
      <x:c r="E961" s="38"/>
      <x:c r="F961" s="38"/>
      <x:c r="G961" s="38"/>
      <x:c r="H961" s="38"/>
      <x:c r="I961" s="38"/>
      <x:c r="J961" s="38"/>
      <x:c r="K961" s="38"/>
      <x:c r="L961" s="38"/>
      <x:c r="M961" s="38"/>
      <x:c r="N961" s="38"/>
      <x:c r="O961" s="38"/>
      <x:c r="P961" s="38"/>
      <x:c r="Q961" s="38"/>
      <x:c r="R961" s="38"/>
      <x:c r="S961" s="38"/>
      <x:c r="T961" s="38"/>
      <x:c r="U961" s="38"/>
      <x:c r="V961" s="38"/>
      <x:c r="W961" s="38"/>
      <x:c r="X961" s="38"/>
      <x:c r="Y961" s="38"/>
      <x:c r="Z961" s="38"/>
    </x:row>
    <x:row r="962">
      <x:c r="A962" s="38"/>
      <x:c r="B962" s="38"/>
      <x:c r="C962" s="38"/>
      <x:c r="D962" s="38"/>
      <x:c r="E962" s="38"/>
      <x:c r="F962" s="38"/>
      <x:c r="G962" s="38"/>
      <x:c r="H962" s="38"/>
      <x:c r="I962" s="38"/>
      <x:c r="J962" s="38"/>
      <x:c r="K962" s="38"/>
      <x:c r="L962" s="38"/>
      <x:c r="M962" s="38"/>
      <x:c r="N962" s="38"/>
      <x:c r="O962" s="38"/>
      <x:c r="P962" s="38"/>
      <x:c r="Q962" s="38"/>
      <x:c r="R962" s="38"/>
      <x:c r="S962" s="38"/>
      <x:c r="T962" s="38"/>
      <x:c r="U962" s="38"/>
      <x:c r="V962" s="38"/>
      <x:c r="W962" s="38"/>
      <x:c r="X962" s="38"/>
      <x:c r="Y962" s="38"/>
      <x:c r="Z962" s="38"/>
    </x:row>
    <x:row r="963">
      <x:c r="A963" s="38"/>
      <x:c r="B963" s="38"/>
      <x:c r="C963" s="38"/>
      <x:c r="D963" s="38"/>
      <x:c r="E963" s="38"/>
      <x:c r="F963" s="38"/>
      <x:c r="G963" s="38"/>
      <x:c r="H963" s="38"/>
      <x:c r="I963" s="38"/>
      <x:c r="J963" s="38"/>
      <x:c r="K963" s="38"/>
      <x:c r="L963" s="38"/>
      <x:c r="M963" s="38"/>
      <x:c r="N963" s="38"/>
      <x:c r="O963" s="38"/>
      <x:c r="P963" s="38"/>
      <x:c r="Q963" s="38"/>
      <x:c r="R963" s="38"/>
      <x:c r="S963" s="38"/>
      <x:c r="T963" s="38"/>
      <x:c r="U963" s="38"/>
      <x:c r="V963" s="38"/>
      <x:c r="W963" s="38"/>
      <x:c r="X963" s="38"/>
      <x:c r="Y963" s="38"/>
      <x:c r="Z963" s="38"/>
    </x:row>
    <x:row r="964">
      <x:c r="A964" s="38"/>
      <x:c r="B964" s="38"/>
      <x:c r="C964" s="38"/>
      <x:c r="D964" s="38"/>
      <x:c r="E964" s="38"/>
      <x:c r="F964" s="38"/>
      <x:c r="G964" s="38"/>
      <x:c r="H964" s="38"/>
      <x:c r="I964" s="38"/>
      <x:c r="J964" s="38"/>
      <x:c r="K964" s="38"/>
      <x:c r="L964" s="38"/>
      <x:c r="M964" s="38"/>
      <x:c r="N964" s="38"/>
      <x:c r="O964" s="38"/>
      <x:c r="P964" s="38"/>
      <x:c r="Q964" s="38"/>
      <x:c r="R964" s="38"/>
      <x:c r="S964" s="38"/>
      <x:c r="T964" s="38"/>
      <x:c r="U964" s="38"/>
      <x:c r="V964" s="38"/>
      <x:c r="W964" s="38"/>
      <x:c r="X964" s="38"/>
      <x:c r="Y964" s="38"/>
      <x:c r="Z964" s="38"/>
    </x:row>
    <x:row r="965">
      <x:c r="A965" s="38"/>
      <x:c r="B965" s="38"/>
      <x:c r="C965" s="38"/>
      <x:c r="D965" s="38"/>
      <x:c r="E965" s="38"/>
      <x:c r="F965" s="38"/>
      <x:c r="G965" s="38"/>
      <x:c r="H965" s="38"/>
      <x:c r="I965" s="38"/>
      <x:c r="J965" s="38"/>
      <x:c r="K965" s="38"/>
      <x:c r="L965" s="38"/>
      <x:c r="M965" s="38"/>
      <x:c r="N965" s="38"/>
      <x:c r="O965" s="38"/>
      <x:c r="P965" s="38"/>
      <x:c r="Q965" s="38"/>
      <x:c r="R965" s="38"/>
      <x:c r="S965" s="38"/>
      <x:c r="T965" s="38"/>
      <x:c r="U965" s="38"/>
      <x:c r="V965" s="38"/>
      <x:c r="W965" s="38"/>
      <x:c r="X965" s="38"/>
      <x:c r="Y965" s="38"/>
      <x:c r="Z965" s="38"/>
    </x:row>
    <x:row r="966">
      <x:c r="A966" s="38"/>
      <x:c r="B966" s="38"/>
      <x:c r="C966" s="38"/>
      <x:c r="D966" s="38"/>
      <x:c r="E966" s="38"/>
      <x:c r="F966" s="38"/>
      <x:c r="G966" s="38"/>
      <x:c r="H966" s="38"/>
      <x:c r="I966" s="38"/>
      <x:c r="J966" s="38"/>
      <x:c r="K966" s="38"/>
      <x:c r="L966" s="38"/>
      <x:c r="M966" s="38"/>
      <x:c r="N966" s="38"/>
      <x:c r="O966" s="38"/>
      <x:c r="P966" s="38"/>
      <x:c r="Q966" s="38"/>
      <x:c r="R966" s="38"/>
      <x:c r="S966" s="38"/>
      <x:c r="T966" s="38"/>
      <x:c r="U966" s="38"/>
      <x:c r="V966" s="38"/>
      <x:c r="W966" s="38"/>
      <x:c r="X966" s="38"/>
      <x:c r="Y966" s="38"/>
      <x:c r="Z966" s="38"/>
    </x:row>
    <x:row r="967">
      <x:c r="A967" s="38"/>
      <x:c r="B967" s="38"/>
      <x:c r="C967" s="38"/>
      <x:c r="D967" s="38"/>
      <x:c r="E967" s="38"/>
      <x:c r="F967" s="38"/>
      <x:c r="G967" s="38"/>
      <x:c r="H967" s="38"/>
      <x:c r="I967" s="38"/>
      <x:c r="J967" s="38"/>
      <x:c r="K967" s="38"/>
      <x:c r="L967" s="38"/>
      <x:c r="M967" s="38"/>
      <x:c r="N967" s="38"/>
      <x:c r="O967" s="38"/>
      <x:c r="P967" s="38"/>
      <x:c r="Q967" s="38"/>
      <x:c r="R967" s="38"/>
      <x:c r="S967" s="38"/>
      <x:c r="T967" s="38"/>
      <x:c r="U967" s="38"/>
      <x:c r="V967" s="38"/>
      <x:c r="W967" s="38"/>
      <x:c r="X967" s="38"/>
      <x:c r="Y967" s="38"/>
      <x:c r="Z967" s="38"/>
    </x:row>
    <x:row r="968">
      <x:c r="A968" s="38"/>
      <x:c r="B968" s="38"/>
      <x:c r="C968" s="38"/>
      <x:c r="D968" s="38"/>
      <x:c r="E968" s="38"/>
      <x:c r="F968" s="38"/>
      <x:c r="G968" s="38"/>
      <x:c r="H968" s="38"/>
      <x:c r="I968" s="38"/>
      <x:c r="J968" s="38"/>
      <x:c r="K968" s="38"/>
      <x:c r="L968" s="38"/>
      <x:c r="M968" s="38"/>
      <x:c r="N968" s="38"/>
      <x:c r="O968" s="38"/>
      <x:c r="P968" s="38"/>
      <x:c r="Q968" s="38"/>
      <x:c r="R968" s="38"/>
      <x:c r="S968" s="38"/>
      <x:c r="T968" s="38"/>
      <x:c r="U968" s="38"/>
      <x:c r="V968" s="38"/>
      <x:c r="W968" s="38"/>
      <x:c r="X968" s="38"/>
      <x:c r="Y968" s="38"/>
      <x:c r="Z968" s="38"/>
    </x:row>
    <x:row r="969">
      <x:c r="A969" s="38"/>
      <x:c r="B969" s="38"/>
      <x:c r="C969" s="38"/>
      <x:c r="D969" s="38"/>
      <x:c r="E969" s="38"/>
      <x:c r="F969" s="38"/>
      <x:c r="G969" s="38"/>
      <x:c r="H969" s="38"/>
      <x:c r="I969" s="38"/>
      <x:c r="J969" s="38"/>
      <x:c r="K969" s="38"/>
      <x:c r="L969" s="38"/>
      <x:c r="M969" s="38"/>
      <x:c r="N969" s="38"/>
      <x:c r="O969" s="38"/>
      <x:c r="P969" s="38"/>
      <x:c r="Q969" s="38"/>
      <x:c r="R969" s="38"/>
      <x:c r="S969" s="38"/>
      <x:c r="T969" s="38"/>
      <x:c r="U969" s="38"/>
      <x:c r="V969" s="38"/>
      <x:c r="W969" s="38"/>
      <x:c r="X969" s="38"/>
      <x:c r="Y969" s="38"/>
      <x:c r="Z969" s="38"/>
    </x:row>
    <x:row r="970">
      <x:c r="A970" s="38"/>
      <x:c r="B970" s="38"/>
      <x:c r="C970" s="38"/>
      <x:c r="D970" s="38"/>
      <x:c r="E970" s="38"/>
      <x:c r="F970" s="38"/>
      <x:c r="G970" s="38"/>
      <x:c r="H970" s="38"/>
      <x:c r="I970" s="38"/>
      <x:c r="J970" s="38"/>
      <x:c r="K970" s="38"/>
      <x:c r="L970" s="38"/>
      <x:c r="M970" s="38"/>
      <x:c r="N970" s="38"/>
      <x:c r="O970" s="38"/>
      <x:c r="P970" s="38"/>
      <x:c r="Q970" s="38"/>
      <x:c r="R970" s="38"/>
      <x:c r="S970" s="38"/>
      <x:c r="T970" s="38"/>
      <x:c r="U970" s="38"/>
      <x:c r="V970" s="38"/>
      <x:c r="W970" s="38"/>
      <x:c r="X970" s="38"/>
      <x:c r="Y970" s="38"/>
      <x:c r="Z970" s="38"/>
    </x:row>
    <x:row r="971">
      <x:c r="A971" s="38"/>
      <x:c r="B971" s="38"/>
      <x:c r="C971" s="38"/>
      <x:c r="D971" s="38"/>
      <x:c r="E971" s="38"/>
      <x:c r="F971" s="38"/>
      <x:c r="G971" s="38"/>
      <x:c r="H971" s="38"/>
      <x:c r="I971" s="38"/>
      <x:c r="J971" s="38"/>
      <x:c r="K971" s="38"/>
      <x:c r="L971" s="38"/>
      <x:c r="M971" s="38"/>
      <x:c r="N971" s="38"/>
      <x:c r="O971" s="38"/>
      <x:c r="P971" s="38"/>
      <x:c r="Q971" s="38"/>
      <x:c r="R971" s="38"/>
      <x:c r="S971" s="38"/>
      <x:c r="T971" s="38"/>
      <x:c r="U971" s="38"/>
      <x:c r="V971" s="38"/>
      <x:c r="W971" s="38"/>
      <x:c r="X971" s="38"/>
      <x:c r="Y971" s="38"/>
      <x:c r="Z971" s="38"/>
    </x:row>
    <x:row r="972">
      <x:c r="A972" s="38"/>
      <x:c r="B972" s="38"/>
      <x:c r="C972" s="38"/>
      <x:c r="D972" s="38"/>
      <x:c r="E972" s="38"/>
      <x:c r="F972" s="38"/>
      <x:c r="G972" s="38"/>
      <x:c r="H972" s="38"/>
      <x:c r="I972" s="38"/>
      <x:c r="J972" s="38"/>
      <x:c r="K972" s="38"/>
      <x:c r="L972" s="38"/>
      <x:c r="M972" s="38"/>
      <x:c r="N972" s="38"/>
      <x:c r="O972" s="38"/>
      <x:c r="P972" s="38"/>
      <x:c r="Q972" s="38"/>
      <x:c r="R972" s="38"/>
      <x:c r="S972" s="38"/>
      <x:c r="T972" s="38"/>
      <x:c r="U972" s="38"/>
      <x:c r="V972" s="38"/>
      <x:c r="W972" s="38"/>
      <x:c r="X972" s="38"/>
      <x:c r="Y972" s="38"/>
      <x:c r="Z972" s="38"/>
    </x:row>
    <x:row r="973">
      <x:c r="A973" s="38"/>
      <x:c r="B973" s="38"/>
      <x:c r="C973" s="38"/>
      <x:c r="D973" s="38"/>
      <x:c r="E973" s="38"/>
      <x:c r="F973" s="38"/>
      <x:c r="G973" s="38"/>
      <x:c r="H973" s="38"/>
      <x:c r="I973" s="38"/>
      <x:c r="J973" s="38"/>
      <x:c r="K973" s="38"/>
      <x:c r="L973" s="38"/>
      <x:c r="M973" s="38"/>
      <x:c r="N973" s="38"/>
      <x:c r="O973" s="38"/>
      <x:c r="P973" s="38"/>
      <x:c r="Q973" s="38"/>
      <x:c r="R973" s="38"/>
      <x:c r="S973" s="38"/>
      <x:c r="T973" s="38"/>
      <x:c r="U973" s="38"/>
      <x:c r="V973" s="38"/>
      <x:c r="W973" s="38"/>
      <x:c r="X973" s="38"/>
      <x:c r="Y973" s="38"/>
      <x:c r="Z973" s="38"/>
    </x:row>
    <x:row r="974">
      <x:c r="A974" s="38"/>
      <x:c r="B974" s="38"/>
      <x:c r="C974" s="38"/>
      <x:c r="D974" s="38"/>
      <x:c r="E974" s="38"/>
      <x:c r="F974" s="38"/>
      <x:c r="G974" s="38"/>
      <x:c r="H974" s="38"/>
      <x:c r="I974" s="38"/>
      <x:c r="J974" s="38"/>
      <x:c r="K974" s="38"/>
      <x:c r="L974" s="38"/>
      <x:c r="M974" s="38"/>
      <x:c r="N974" s="38"/>
      <x:c r="O974" s="38"/>
      <x:c r="P974" s="38"/>
      <x:c r="Q974" s="38"/>
      <x:c r="R974" s="38"/>
      <x:c r="S974" s="38"/>
      <x:c r="T974" s="38"/>
      <x:c r="U974" s="38"/>
      <x:c r="V974" s="38"/>
      <x:c r="W974" s="38"/>
      <x:c r="X974" s="38"/>
      <x:c r="Y974" s="38"/>
      <x:c r="Z974" s="38"/>
    </x:row>
    <x:row r="975">
      <x:c r="A975" s="38"/>
      <x:c r="B975" s="38"/>
      <x:c r="C975" s="38"/>
      <x:c r="D975" s="38"/>
      <x:c r="E975" s="38"/>
      <x:c r="F975" s="38"/>
      <x:c r="G975" s="38"/>
      <x:c r="H975" s="38"/>
      <x:c r="I975" s="38"/>
      <x:c r="J975" s="38"/>
      <x:c r="K975" s="38"/>
      <x:c r="L975" s="38"/>
      <x:c r="M975" s="38"/>
      <x:c r="N975" s="38"/>
      <x:c r="O975" s="38"/>
      <x:c r="P975" s="38"/>
      <x:c r="Q975" s="38"/>
      <x:c r="R975" s="38"/>
      <x:c r="S975" s="38"/>
      <x:c r="T975" s="38"/>
      <x:c r="U975" s="38"/>
      <x:c r="V975" s="38"/>
      <x:c r="W975" s="38"/>
      <x:c r="X975" s="38"/>
      <x:c r="Y975" s="38"/>
      <x:c r="Z975" s="38"/>
    </x:row>
    <x:row r="976">
      <x:c r="A976" s="38"/>
      <x:c r="B976" s="38"/>
      <x:c r="C976" s="38"/>
      <x:c r="D976" s="38"/>
      <x:c r="E976" s="38"/>
      <x:c r="F976" s="38"/>
      <x:c r="G976" s="38"/>
      <x:c r="H976" s="38"/>
      <x:c r="I976" s="38"/>
      <x:c r="J976" s="38"/>
      <x:c r="K976" s="38"/>
      <x:c r="L976" s="38"/>
      <x:c r="M976" s="38"/>
      <x:c r="N976" s="38"/>
      <x:c r="O976" s="38"/>
      <x:c r="P976" s="38"/>
      <x:c r="Q976" s="38"/>
      <x:c r="R976" s="38"/>
      <x:c r="S976" s="38"/>
      <x:c r="T976" s="38"/>
      <x:c r="U976" s="38"/>
      <x:c r="V976" s="38"/>
      <x:c r="W976" s="38"/>
      <x:c r="X976" s="38"/>
      <x:c r="Y976" s="38"/>
      <x:c r="Z976" s="38"/>
    </x:row>
    <x:row r="977">
      <x:c r="A977" s="38"/>
      <x:c r="B977" s="38"/>
      <x:c r="C977" s="38"/>
      <x:c r="D977" s="38"/>
      <x:c r="E977" s="38"/>
      <x:c r="F977" s="38"/>
      <x:c r="G977" s="38"/>
      <x:c r="H977" s="38"/>
      <x:c r="I977" s="38"/>
      <x:c r="J977" s="38"/>
      <x:c r="K977" s="38"/>
      <x:c r="L977" s="38"/>
      <x:c r="M977" s="38"/>
      <x:c r="N977" s="38"/>
      <x:c r="O977" s="38"/>
      <x:c r="P977" s="38"/>
      <x:c r="Q977" s="38"/>
      <x:c r="R977" s="38"/>
      <x:c r="S977" s="38"/>
      <x:c r="T977" s="38"/>
      <x:c r="U977" s="38"/>
      <x:c r="V977" s="38"/>
      <x:c r="W977" s="38"/>
      <x:c r="X977" s="38"/>
      <x:c r="Y977" s="38"/>
      <x:c r="Z977" s="38"/>
    </x:row>
    <x:row r="978">
      <x:c r="A978" s="38"/>
      <x:c r="B978" s="38"/>
      <x:c r="C978" s="38"/>
      <x:c r="D978" s="38"/>
      <x:c r="E978" s="38"/>
      <x:c r="F978" s="38"/>
      <x:c r="G978" s="38"/>
      <x:c r="H978" s="38"/>
      <x:c r="I978" s="38"/>
      <x:c r="J978" s="38"/>
      <x:c r="K978" s="38"/>
      <x:c r="L978" s="38"/>
      <x:c r="M978" s="38"/>
      <x:c r="N978" s="38"/>
      <x:c r="O978" s="38"/>
      <x:c r="P978" s="38"/>
      <x:c r="Q978" s="38"/>
      <x:c r="R978" s="38"/>
      <x:c r="S978" s="38"/>
      <x:c r="T978" s="38"/>
      <x:c r="U978" s="38"/>
      <x:c r="V978" s="38"/>
      <x:c r="W978" s="38"/>
      <x:c r="X978" s="38"/>
      <x:c r="Y978" s="38"/>
      <x:c r="Z978" s="38"/>
    </x:row>
    <x:row r="979">
      <x:c r="A979" s="38"/>
      <x:c r="B979" s="38"/>
      <x:c r="C979" s="38"/>
      <x:c r="D979" s="38"/>
      <x:c r="E979" s="38"/>
      <x:c r="F979" s="38"/>
      <x:c r="G979" s="38"/>
      <x:c r="H979" s="38"/>
      <x:c r="I979" s="38"/>
      <x:c r="J979" s="38"/>
      <x:c r="K979" s="38"/>
      <x:c r="L979" s="38"/>
      <x:c r="M979" s="38"/>
      <x:c r="N979" s="38"/>
      <x:c r="O979" s="38"/>
      <x:c r="P979" s="38"/>
      <x:c r="Q979" s="38"/>
      <x:c r="R979" s="38"/>
      <x:c r="S979" s="38"/>
      <x:c r="T979" s="38"/>
      <x:c r="U979" s="38"/>
      <x:c r="V979" s="38"/>
      <x:c r="W979" s="38"/>
      <x:c r="X979" s="38"/>
      <x:c r="Y979" s="38"/>
      <x:c r="Z979" s="38"/>
    </x:row>
    <x:row r="980">
      <x:c r="A980" s="38"/>
      <x:c r="B980" s="38"/>
      <x:c r="C980" s="38"/>
      <x:c r="D980" s="38"/>
      <x:c r="E980" s="38"/>
      <x:c r="F980" s="38"/>
      <x:c r="G980" s="38"/>
      <x:c r="H980" s="38"/>
      <x:c r="I980" s="38"/>
      <x:c r="J980" s="38"/>
      <x:c r="K980" s="38"/>
      <x:c r="L980" s="38"/>
      <x:c r="M980" s="38"/>
      <x:c r="N980" s="38"/>
      <x:c r="O980" s="38"/>
      <x:c r="P980" s="38"/>
      <x:c r="Q980" s="38"/>
      <x:c r="R980" s="38"/>
      <x:c r="S980" s="38"/>
      <x:c r="T980" s="38"/>
      <x:c r="U980" s="38"/>
      <x:c r="V980" s="38"/>
      <x:c r="W980" s="38"/>
      <x:c r="X980" s="38"/>
      <x:c r="Y980" s="38"/>
      <x:c r="Z980" s="38"/>
    </x:row>
    <x:row r="981">
      <x:c r="A981" s="38"/>
      <x:c r="B981" s="38"/>
      <x:c r="C981" s="38"/>
      <x:c r="D981" s="38"/>
      <x:c r="E981" s="38"/>
      <x:c r="F981" s="38"/>
      <x:c r="G981" s="38"/>
      <x:c r="H981" s="38"/>
      <x:c r="I981" s="38"/>
      <x:c r="J981" s="38"/>
      <x:c r="K981" s="38"/>
      <x:c r="L981" s="38"/>
      <x:c r="M981" s="38"/>
      <x:c r="N981" s="38"/>
      <x:c r="O981" s="38"/>
      <x:c r="P981" s="38"/>
      <x:c r="Q981" s="38"/>
      <x:c r="R981" s="38"/>
      <x:c r="S981" s="38"/>
      <x:c r="T981" s="38"/>
      <x:c r="U981" s="38"/>
      <x:c r="V981" s="38"/>
      <x:c r="W981" s="38"/>
      <x:c r="X981" s="38"/>
      <x:c r="Y981" s="38"/>
      <x:c r="Z981" s="38"/>
    </x:row>
    <x:row r="982">
      <x:c r="A982" s="38"/>
      <x:c r="B982" s="38"/>
      <x:c r="C982" s="38"/>
      <x:c r="D982" s="38"/>
      <x:c r="E982" s="38"/>
      <x:c r="F982" s="38"/>
      <x:c r="G982" s="38"/>
      <x:c r="H982" s="38"/>
      <x:c r="I982" s="38"/>
      <x:c r="J982" s="38"/>
      <x:c r="K982" s="38"/>
      <x:c r="L982" s="38"/>
      <x:c r="M982" s="38"/>
      <x:c r="N982" s="38"/>
      <x:c r="O982" s="38"/>
      <x:c r="P982" s="38"/>
      <x:c r="Q982" s="38"/>
      <x:c r="R982" s="38"/>
      <x:c r="S982" s="38"/>
      <x:c r="T982" s="38"/>
      <x:c r="U982" s="38"/>
      <x:c r="V982" s="38"/>
      <x:c r="W982" s="38"/>
      <x:c r="X982" s="38"/>
      <x:c r="Y982" s="38"/>
      <x:c r="Z982" s="38"/>
    </x:row>
    <x:row r="983">
      <x:c r="A983" s="38"/>
      <x:c r="B983" s="38"/>
      <x:c r="C983" s="38"/>
      <x:c r="D983" s="38"/>
      <x:c r="E983" s="38"/>
      <x:c r="F983" s="38"/>
      <x:c r="G983" s="38"/>
      <x:c r="H983" s="38"/>
      <x:c r="I983" s="38"/>
      <x:c r="J983" s="38"/>
      <x:c r="K983" s="38"/>
      <x:c r="L983" s="38"/>
      <x:c r="M983" s="38"/>
      <x:c r="N983" s="38"/>
      <x:c r="O983" s="38"/>
      <x:c r="P983" s="38"/>
      <x:c r="Q983" s="38"/>
      <x:c r="R983" s="38"/>
      <x:c r="S983" s="38"/>
      <x:c r="T983" s="38"/>
      <x:c r="U983" s="38"/>
      <x:c r="V983" s="38"/>
      <x:c r="W983" s="38"/>
      <x:c r="X983" s="38"/>
      <x:c r="Y983" s="38"/>
      <x:c r="Z983" s="38"/>
    </x:row>
    <x:row r="984">
      <x:c r="A984" s="38"/>
      <x:c r="B984" s="38"/>
      <x:c r="C984" s="38"/>
      <x:c r="D984" s="38"/>
      <x:c r="E984" s="38"/>
      <x:c r="F984" s="38"/>
      <x:c r="G984" s="38"/>
      <x:c r="H984" s="38"/>
      <x:c r="I984" s="38"/>
      <x:c r="J984" s="38"/>
      <x:c r="K984" s="38"/>
      <x:c r="L984" s="38"/>
      <x:c r="M984" s="38"/>
      <x:c r="N984" s="38"/>
      <x:c r="O984" s="38"/>
      <x:c r="P984" s="38"/>
      <x:c r="Q984" s="38"/>
      <x:c r="R984" s="38"/>
      <x:c r="S984" s="38"/>
      <x:c r="T984" s="38"/>
      <x:c r="U984" s="38"/>
      <x:c r="V984" s="38"/>
      <x:c r="W984" s="38"/>
      <x:c r="X984" s="38"/>
      <x:c r="Y984" s="38"/>
      <x:c r="Z984" s="38"/>
    </x:row>
    <x:row r="985">
      <x:c r="A985" s="38"/>
      <x:c r="B985" s="38"/>
      <x:c r="C985" s="38"/>
      <x:c r="D985" s="38"/>
      <x:c r="E985" s="38"/>
      <x:c r="F985" s="38"/>
      <x:c r="G985" s="38"/>
      <x:c r="H985" s="38"/>
      <x:c r="I985" s="38"/>
      <x:c r="J985" s="38"/>
      <x:c r="K985" s="38"/>
      <x:c r="L985" s="38"/>
      <x:c r="M985" s="38"/>
      <x:c r="N985" s="38"/>
      <x:c r="O985" s="38"/>
      <x:c r="P985" s="38"/>
      <x:c r="Q985" s="38"/>
      <x:c r="R985" s="38"/>
      <x:c r="S985" s="38"/>
      <x:c r="T985" s="38"/>
      <x:c r="U985" s="38"/>
      <x:c r="V985" s="38"/>
      <x:c r="W985" s="38"/>
      <x:c r="X985" s="38"/>
      <x:c r="Y985" s="38"/>
      <x:c r="Z985" s="38"/>
    </x:row>
    <x:row r="986">
      <x:c r="A986" s="38"/>
      <x:c r="B986" s="38"/>
      <x:c r="C986" s="38"/>
      <x:c r="D986" s="38"/>
      <x:c r="E986" s="38"/>
      <x:c r="F986" s="38"/>
      <x:c r="G986" s="38"/>
      <x:c r="H986" s="38"/>
      <x:c r="I986" s="38"/>
      <x:c r="J986" s="38"/>
      <x:c r="K986" s="38"/>
      <x:c r="L986" s="38"/>
      <x:c r="M986" s="38"/>
      <x:c r="N986" s="38"/>
      <x:c r="O986" s="38"/>
      <x:c r="P986" s="38"/>
      <x:c r="Q986" s="38"/>
      <x:c r="R986" s="38"/>
      <x:c r="S986" s="38"/>
      <x:c r="T986" s="38"/>
      <x:c r="U986" s="38"/>
      <x:c r="V986" s="38"/>
      <x:c r="W986" s="38"/>
      <x:c r="X986" s="38"/>
      <x:c r="Y986" s="38"/>
      <x:c r="Z986" s="38"/>
    </x:row>
    <x:row r="987">
      <x:c r="A987" s="38"/>
      <x:c r="B987" s="38"/>
      <x:c r="C987" s="38"/>
      <x:c r="D987" s="38"/>
      <x:c r="E987" s="38"/>
      <x:c r="F987" s="38"/>
      <x:c r="G987" s="38"/>
      <x:c r="H987" s="38"/>
      <x:c r="I987" s="38"/>
      <x:c r="J987" s="38"/>
      <x:c r="K987" s="38"/>
      <x:c r="L987" s="38"/>
      <x:c r="M987" s="38"/>
      <x:c r="N987" s="38"/>
      <x:c r="O987" s="38"/>
      <x:c r="P987" s="38"/>
      <x:c r="Q987" s="38"/>
      <x:c r="R987" s="38"/>
      <x:c r="S987" s="38"/>
      <x:c r="T987" s="38"/>
      <x:c r="U987" s="38"/>
      <x:c r="V987" s="38"/>
      <x:c r="W987" s="38"/>
      <x:c r="X987" s="38"/>
      <x:c r="Y987" s="38"/>
      <x:c r="Z987" s="38"/>
    </x:row>
    <x:row r="988">
      <x:c r="A988" s="38"/>
      <x:c r="B988" s="38"/>
      <x:c r="C988" s="38"/>
      <x:c r="D988" s="38"/>
      <x:c r="E988" s="38"/>
      <x:c r="F988" s="38"/>
      <x:c r="G988" s="38"/>
      <x:c r="H988" s="38"/>
      <x:c r="I988" s="38"/>
      <x:c r="J988" s="38"/>
      <x:c r="K988" s="38"/>
      <x:c r="L988" s="38"/>
      <x:c r="M988" s="38"/>
      <x:c r="N988" s="38"/>
      <x:c r="O988" s="38"/>
      <x:c r="P988" s="38"/>
      <x:c r="Q988" s="38"/>
      <x:c r="R988" s="38"/>
      <x:c r="S988" s="38"/>
      <x:c r="T988" s="38"/>
      <x:c r="U988" s="38"/>
      <x:c r="V988" s="38"/>
      <x:c r="W988" s="38"/>
      <x:c r="X988" s="38"/>
      <x:c r="Y988" s="38"/>
      <x:c r="Z988" s="38"/>
    </x:row>
    <x:row r="989">
      <x:c r="A989" s="38"/>
      <x:c r="B989" s="38"/>
      <x:c r="C989" s="38"/>
      <x:c r="D989" s="38"/>
      <x:c r="E989" s="38"/>
      <x:c r="F989" s="38"/>
      <x:c r="G989" s="38"/>
      <x:c r="H989" s="38"/>
      <x:c r="I989" s="38"/>
      <x:c r="J989" s="38"/>
      <x:c r="K989" s="38"/>
      <x:c r="L989" s="38"/>
      <x:c r="M989" s="38"/>
      <x:c r="N989" s="38"/>
      <x:c r="O989" s="38"/>
      <x:c r="P989" s="38"/>
      <x:c r="Q989" s="38"/>
      <x:c r="R989" s="38"/>
      <x:c r="S989" s="38"/>
      <x:c r="T989" s="38"/>
      <x:c r="U989" s="38"/>
      <x:c r="V989" s="38"/>
      <x:c r="W989" s="38"/>
      <x:c r="X989" s="38"/>
      <x:c r="Y989" s="38"/>
      <x:c r="Z989" s="38"/>
    </x:row>
    <x:row r="990">
      <x:c r="A990" s="38"/>
      <x:c r="B990" s="38"/>
      <x:c r="C990" s="38"/>
      <x:c r="D990" s="38"/>
      <x:c r="E990" s="38"/>
      <x:c r="F990" s="38"/>
      <x:c r="G990" s="38"/>
      <x:c r="H990" s="38"/>
      <x:c r="I990" s="38"/>
      <x:c r="J990" s="38"/>
      <x:c r="K990" s="38"/>
      <x:c r="L990" s="38"/>
      <x:c r="M990" s="38"/>
      <x:c r="N990" s="38"/>
      <x:c r="O990" s="38"/>
      <x:c r="P990" s="38"/>
      <x:c r="Q990" s="38"/>
      <x:c r="R990" s="38"/>
      <x:c r="S990" s="38"/>
      <x:c r="T990" s="38"/>
      <x:c r="U990" s="38"/>
      <x:c r="V990" s="38"/>
      <x:c r="W990" s="38"/>
      <x:c r="X990" s="38"/>
      <x:c r="Y990" s="38"/>
      <x:c r="Z990" s="38"/>
    </x:row>
    <x:row r="991">
      <x:c r="A991" s="38"/>
      <x:c r="B991" s="38"/>
      <x:c r="C991" s="38"/>
      <x:c r="D991" s="38"/>
      <x:c r="E991" s="38"/>
      <x:c r="F991" s="38"/>
      <x:c r="G991" s="38"/>
      <x:c r="H991" s="38"/>
      <x:c r="I991" s="38"/>
      <x:c r="J991" s="38"/>
      <x:c r="K991" s="38"/>
      <x:c r="L991" s="38"/>
      <x:c r="M991" s="38"/>
      <x:c r="N991" s="38"/>
      <x:c r="O991" s="38"/>
      <x:c r="P991" s="38"/>
      <x:c r="Q991" s="38"/>
      <x:c r="R991" s="38"/>
      <x:c r="S991" s="38"/>
      <x:c r="T991" s="38"/>
      <x:c r="U991" s="38"/>
      <x:c r="V991" s="38"/>
      <x:c r="W991" s="38"/>
      <x:c r="X991" s="38"/>
      <x:c r="Y991" s="38"/>
      <x:c r="Z991" s="38"/>
    </x:row>
    <x:row r="992">
      <x:c r="A992" s="38"/>
      <x:c r="B992" s="38"/>
      <x:c r="C992" s="38"/>
      <x:c r="D992" s="38"/>
      <x:c r="E992" s="38"/>
      <x:c r="F992" s="38"/>
      <x:c r="G992" s="38"/>
      <x:c r="H992" s="38"/>
      <x:c r="I992" s="38"/>
      <x:c r="J992" s="38"/>
      <x:c r="K992" s="38"/>
      <x:c r="L992" s="38"/>
      <x:c r="M992" s="38"/>
      <x:c r="N992" s="38"/>
      <x:c r="O992" s="38"/>
      <x:c r="P992" s="38"/>
      <x:c r="Q992" s="38"/>
      <x:c r="R992" s="38"/>
      <x:c r="S992" s="38"/>
      <x:c r="T992" s="38"/>
      <x:c r="U992" s="38"/>
      <x:c r="V992" s="38"/>
      <x:c r="W992" s="38"/>
      <x:c r="X992" s="38"/>
      <x:c r="Y992" s="38"/>
      <x:c r="Z992" s="38"/>
    </x:row>
    <x:row r="993">
      <x:c r="A993" s="38"/>
      <x:c r="B993" s="38"/>
      <x:c r="C993" s="38"/>
      <x:c r="D993" s="38"/>
      <x:c r="E993" s="38"/>
      <x:c r="F993" s="38"/>
      <x:c r="G993" s="38"/>
      <x:c r="H993" s="38"/>
      <x:c r="I993" s="38"/>
      <x:c r="J993" s="38"/>
      <x:c r="K993" s="38"/>
      <x:c r="L993" s="38"/>
      <x:c r="M993" s="38"/>
      <x:c r="N993" s="38"/>
      <x:c r="O993" s="38"/>
      <x:c r="P993" s="38"/>
      <x:c r="Q993" s="38"/>
      <x:c r="R993" s="38"/>
      <x:c r="S993" s="38"/>
      <x:c r="T993" s="38"/>
      <x:c r="U993" s="38"/>
      <x:c r="V993" s="38"/>
      <x:c r="W993" s="38"/>
      <x:c r="X993" s="38"/>
      <x:c r="Y993" s="38"/>
      <x:c r="Z993" s="38"/>
    </x:row>
    <x:row r="994">
      <x:c r="A994" s="38"/>
      <x:c r="B994" s="38"/>
      <x:c r="C994" s="38"/>
      <x:c r="D994" s="38"/>
      <x:c r="E994" s="38"/>
      <x:c r="F994" s="38"/>
      <x:c r="G994" s="38"/>
      <x:c r="H994" s="38"/>
      <x:c r="I994" s="38"/>
      <x:c r="J994" s="38"/>
      <x:c r="K994" s="38"/>
      <x:c r="L994" s="38"/>
      <x:c r="M994" s="38"/>
      <x:c r="N994" s="38"/>
      <x:c r="O994" s="38"/>
      <x:c r="P994" s="38"/>
      <x:c r="Q994" s="38"/>
      <x:c r="R994" s="38"/>
      <x:c r="S994" s="38"/>
      <x:c r="T994" s="38"/>
      <x:c r="U994" s="38"/>
      <x:c r="V994" s="38"/>
      <x:c r="W994" s="38"/>
      <x:c r="X994" s="38"/>
      <x:c r="Y994" s="38"/>
      <x:c r="Z994" s="38"/>
    </x:row>
    <x:row r="995">
      <x:c r="A995" s="38"/>
      <x:c r="B995" s="38"/>
      <x:c r="C995" s="38"/>
      <x:c r="D995" s="38"/>
      <x:c r="E995" s="38"/>
      <x:c r="F995" s="38"/>
      <x:c r="G995" s="38"/>
      <x:c r="H995" s="38"/>
      <x:c r="I995" s="38"/>
      <x:c r="J995" s="38"/>
      <x:c r="K995" s="38"/>
      <x:c r="L995" s="38"/>
      <x:c r="M995" s="38"/>
      <x:c r="N995" s="38"/>
      <x:c r="O995" s="38"/>
      <x:c r="P995" s="38"/>
      <x:c r="Q995" s="38"/>
      <x:c r="R995" s="38"/>
      <x:c r="S995" s="38"/>
      <x:c r="T995" s="38"/>
      <x:c r="U995" s="38"/>
      <x:c r="V995" s="38"/>
      <x:c r="W995" s="38"/>
      <x:c r="X995" s="38"/>
      <x:c r="Y995" s="38"/>
      <x:c r="Z995" s="38"/>
    </x:row>
    <x:row r="996">
      <x:c r="A996" s="38"/>
      <x:c r="B996" s="38"/>
      <x:c r="C996" s="38"/>
      <x:c r="D996" s="38"/>
      <x:c r="E996" s="38"/>
      <x:c r="F996" s="38"/>
      <x:c r="G996" s="38"/>
      <x:c r="H996" s="38"/>
      <x:c r="I996" s="38"/>
      <x:c r="J996" s="38"/>
      <x:c r="K996" s="38"/>
      <x:c r="L996" s="38"/>
      <x:c r="M996" s="38"/>
      <x:c r="N996" s="38"/>
      <x:c r="O996" s="38"/>
      <x:c r="P996" s="38"/>
      <x:c r="Q996" s="38"/>
      <x:c r="R996" s="38"/>
      <x:c r="S996" s="38"/>
      <x:c r="T996" s="38"/>
      <x:c r="U996" s="38"/>
      <x:c r="V996" s="38"/>
      <x:c r="W996" s="38"/>
      <x:c r="X996" s="38"/>
      <x:c r="Y996" s="38"/>
      <x:c r="Z996" s="38"/>
    </x:row>
    <x:row r="997">
      <x:c r="A997" s="38"/>
      <x:c r="B997" s="38"/>
      <x:c r="C997" s="38"/>
      <x:c r="D997" s="38"/>
      <x:c r="E997" s="38"/>
      <x:c r="F997" s="38"/>
      <x:c r="G997" s="38"/>
      <x:c r="H997" s="38"/>
      <x:c r="I997" s="38"/>
      <x:c r="J997" s="38"/>
      <x:c r="K997" s="38"/>
      <x:c r="L997" s="38"/>
      <x:c r="M997" s="38"/>
      <x:c r="N997" s="38"/>
      <x:c r="O997" s="38"/>
      <x:c r="P997" s="38"/>
      <x:c r="Q997" s="38"/>
      <x:c r="R997" s="38"/>
      <x:c r="S997" s="38"/>
      <x:c r="T997" s="38"/>
      <x:c r="U997" s="38"/>
      <x:c r="V997" s="38"/>
      <x:c r="W997" s="38"/>
      <x:c r="X997" s="38"/>
      <x:c r="Y997" s="38"/>
      <x:c r="Z997" s="38"/>
    </x:row>
    <x:row r="998">
      <x:c r="A998" s="38"/>
      <x:c r="B998" s="38"/>
      <x:c r="C998" s="38"/>
      <x:c r="D998" s="38"/>
      <x:c r="E998" s="38"/>
      <x:c r="F998" s="38"/>
      <x:c r="G998" s="38"/>
      <x:c r="H998" s="38"/>
      <x:c r="I998" s="38"/>
      <x:c r="J998" s="38"/>
      <x:c r="K998" s="38"/>
      <x:c r="L998" s="38"/>
      <x:c r="M998" s="38"/>
      <x:c r="N998" s="38"/>
      <x:c r="O998" s="38"/>
      <x:c r="P998" s="38"/>
      <x:c r="Q998" s="38"/>
      <x:c r="R998" s="38"/>
      <x:c r="S998" s="38"/>
      <x:c r="T998" s="38"/>
      <x:c r="U998" s="38"/>
      <x:c r="V998" s="38"/>
      <x:c r="W998" s="38"/>
      <x:c r="X998" s="38"/>
      <x:c r="Y998" s="38"/>
      <x:c r="Z998" s="38"/>
    </x:row>
    <x:row r="999">
      <x:c r="A999" s="38"/>
      <x:c r="B999" s="38"/>
      <x:c r="C999" s="38"/>
      <x:c r="D999" s="38"/>
      <x:c r="E999" s="38"/>
      <x:c r="F999" s="38"/>
      <x:c r="G999" s="38"/>
      <x:c r="H999" s="38"/>
      <x:c r="I999" s="38"/>
      <x:c r="J999" s="38"/>
      <x:c r="K999" s="38"/>
      <x:c r="L999" s="38"/>
      <x:c r="M999" s="38"/>
      <x:c r="N999" s="38"/>
      <x:c r="O999" s="38"/>
      <x:c r="P999" s="38"/>
      <x:c r="Q999" s="38"/>
      <x:c r="R999" s="38"/>
      <x:c r="S999" s="38"/>
      <x:c r="T999" s="38"/>
      <x:c r="U999" s="38"/>
      <x:c r="V999" s="38"/>
      <x:c r="W999" s="38"/>
      <x:c r="X999" s="38"/>
      <x:c r="Y999" s="38"/>
      <x:c r="Z999" s="38"/>
    </x:row>
    <x:row r="1000">
      <x:c r="A1000" s="38"/>
      <x:c r="B1000" s="38"/>
      <x:c r="C1000" s="38"/>
      <x:c r="D1000" s="38"/>
      <x:c r="E1000" s="38"/>
      <x:c r="F1000" s="38"/>
      <x:c r="G1000" s="38"/>
      <x:c r="H1000" s="38"/>
      <x:c r="I1000" s="38"/>
      <x:c r="J1000" s="38"/>
      <x:c r="K1000" s="38"/>
      <x:c r="L1000" s="38"/>
      <x:c r="M1000" s="38"/>
      <x:c r="N1000" s="38"/>
      <x:c r="O1000" s="38"/>
      <x:c r="P1000" s="38"/>
      <x:c r="Q1000" s="38"/>
      <x:c r="R1000" s="38"/>
      <x:c r="S1000" s="38"/>
      <x:c r="T1000" s="38"/>
      <x:c r="U1000" s="38"/>
      <x:c r="V1000" s="38"/>
      <x:c r="W1000" s="38"/>
      <x:c r="X1000" s="38"/>
      <x:c r="Y1000" s="38"/>
      <x:c r="Z1000" s="38"/>
    </x:row>
    <x:row r="1001">
      <x:c r="A1001" s="38"/>
      <x:c r="B1001" s="38"/>
      <x:c r="C1001" s="38"/>
      <x:c r="D1001" s="38"/>
      <x:c r="E1001" s="38"/>
      <x:c r="F1001" s="38"/>
      <x:c r="G1001" s="38"/>
      <x:c r="H1001" s="38"/>
      <x:c r="I1001" s="38"/>
      <x:c r="J1001" s="38"/>
      <x:c r="K1001" s="38"/>
      <x:c r="L1001" s="38"/>
      <x:c r="M1001" s="38"/>
      <x:c r="N1001" s="38"/>
      <x:c r="O1001" s="38"/>
      <x:c r="P1001" s="38"/>
      <x:c r="Q1001" s="38"/>
      <x:c r="R1001" s="38"/>
      <x:c r="S1001" s="38"/>
      <x:c r="T1001" s="38"/>
      <x:c r="U1001" s="38"/>
      <x:c r="V1001" s="38"/>
      <x:c r="W1001" s="38"/>
      <x:c r="X1001" s="38"/>
      <x:c r="Y1001" s="38"/>
      <x:c r="Z1001" s="38"/>
    </x:row>
    <x:row r="1002">
      <x:c r="A1002" s="38"/>
      <x:c r="B1002" s="38"/>
      <x:c r="C1002" s="38"/>
      <x:c r="D1002" s="38"/>
      <x:c r="E1002" s="38"/>
      <x:c r="F1002" s="38"/>
      <x:c r="G1002" s="38"/>
      <x:c r="H1002" s="38"/>
      <x:c r="I1002" s="38"/>
      <x:c r="J1002" s="38"/>
      <x:c r="K1002" s="38"/>
      <x:c r="L1002" s="38"/>
      <x:c r="M1002" s="38"/>
      <x:c r="N1002" s="38"/>
      <x:c r="O1002" s="38"/>
      <x:c r="P1002" s="38"/>
      <x:c r="Q1002" s="38"/>
      <x:c r="R1002" s="38"/>
      <x:c r="S1002" s="38"/>
      <x:c r="T1002" s="38"/>
      <x:c r="U1002" s="38"/>
      <x:c r="V1002" s="38"/>
      <x:c r="W1002" s="38"/>
      <x:c r="X1002" s="38"/>
      <x:c r="Y1002" s="38"/>
      <x:c r="Z1002" s="38"/>
    </x:row>
    <x:row r="1003">
      <x:c r="A1003" s="38"/>
      <x:c r="B1003" s="38"/>
      <x:c r="C1003" s="38"/>
      <x:c r="D1003" s="38"/>
      <x:c r="E1003" s="38"/>
      <x:c r="F1003" s="38"/>
      <x:c r="G1003" s="38"/>
      <x:c r="H1003" s="38"/>
      <x:c r="I1003" s="38"/>
      <x:c r="J1003" s="38"/>
      <x:c r="K1003" s="38"/>
      <x:c r="L1003" s="38"/>
      <x:c r="M1003" s="38"/>
      <x:c r="N1003" s="38"/>
      <x:c r="O1003" s="38"/>
      <x:c r="P1003" s="38"/>
      <x:c r="Q1003" s="38"/>
      <x:c r="R1003" s="38"/>
      <x:c r="S1003" s="38"/>
      <x:c r="T1003" s="38"/>
      <x:c r="U1003" s="38"/>
      <x:c r="V1003" s="38"/>
      <x:c r="W1003" s="38"/>
      <x:c r="X1003" s="38"/>
      <x:c r="Y1003" s="38"/>
      <x:c r="Z1003" s="38"/>
    </x:row>
    <x:row r="1004">
      <x:c r="A1004" s="38"/>
      <x:c r="B1004" s="38"/>
      <x:c r="C1004" s="38"/>
      <x:c r="D1004" s="38"/>
      <x:c r="E1004" s="38"/>
      <x:c r="F1004" s="38"/>
      <x:c r="G1004" s="38"/>
      <x:c r="H1004" s="38"/>
      <x:c r="I1004" s="38"/>
      <x:c r="J1004" s="38"/>
      <x:c r="K1004" s="38"/>
      <x:c r="L1004" s="38"/>
      <x:c r="M1004" s="38"/>
      <x:c r="N1004" s="38"/>
      <x:c r="O1004" s="38"/>
      <x:c r="P1004" s="38"/>
      <x:c r="Q1004" s="38"/>
      <x:c r="R1004" s="38"/>
      <x:c r="S1004" s="38"/>
      <x:c r="T1004" s="38"/>
      <x:c r="U1004" s="38"/>
      <x:c r="V1004" s="38"/>
      <x:c r="W1004" s="38"/>
      <x:c r="X1004" s="38"/>
      <x:c r="Y1004" s="38"/>
      <x:c r="Z1004" s="38"/>
    </x:row>
    <x:row r="1005">
      <x:c r="A1005" s="38"/>
      <x:c r="B1005" s="38"/>
      <x:c r="C1005" s="38"/>
      <x:c r="D1005" s="38"/>
      <x:c r="E1005" s="38"/>
      <x:c r="F1005" s="38"/>
      <x:c r="G1005" s="38"/>
      <x:c r="H1005" s="38"/>
      <x:c r="I1005" s="38"/>
      <x:c r="J1005" s="38"/>
      <x:c r="K1005" s="38"/>
      <x:c r="L1005" s="38"/>
      <x:c r="M1005" s="38"/>
      <x:c r="N1005" s="38"/>
      <x:c r="O1005" s="38"/>
      <x:c r="P1005" s="38"/>
      <x:c r="Q1005" s="38"/>
      <x:c r="R1005" s="38"/>
      <x:c r="S1005" s="38"/>
      <x:c r="T1005" s="38"/>
      <x:c r="U1005" s="38"/>
      <x:c r="V1005" s="38"/>
      <x:c r="W1005" s="38"/>
      <x:c r="X1005" s="38"/>
      <x:c r="Y1005" s="38"/>
      <x:c r="Z1005" s="38"/>
    </x:row>
  </x:sheetData>
  <x:mergeCells>
    <x:mergeCell ref="A1:H1"/>
    <x:mergeCell ref="A3:H3"/>
    <x:mergeCell ref="A14:H14"/>
  </x:mergeCells>
  <x:dataValidations count="3">
    <x:dataValidation type="list" allowBlank="1" showErrorMessage="1" sqref="B9">
      <x:formula1>"M,F"</x:formula1>
    </x:dataValidation>
    <x:dataValidation type="list" allowBlank="1" showErrorMessage="1" sqref="H7:H9 D20 F18:F20">
      <x:formula1>"Y,N"</x:formula1>
    </x:dataValidation>
    <x:dataValidation type="list" allowBlank="1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20.25" customWidth="1"/>
  </x:cols>
  <x:sheetData>
    <x:row r="1" ht="30" customHeight="1">
      <x:c r="A1" s="3" t="s">
        <x:v>55</x:v>
      </x:c>
      <x:c r="B1" s="2"/>
      <x:c r="C1" s="2"/>
      <x:c r="D1" s="2"/>
      <x:c r="E1" s="2"/>
      <x:c r="F1" s="2"/>
      <x:c r="G1" s="2"/>
      <x:c r="H1" s="2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5" t="s">
        <x:v>56</x:v>
      </x:c>
      <x:c r="B4" s="5" t="s">
        <x:v>57</x:v>
      </x:c>
      <x:c r="C4" s="5" t="s">
        <x:v>58</x:v>
      </x:c>
      <x:c r="D4" s="5" t="s">
        <x:v>59</x:v>
      </x:c>
      <x:c r="E4" s="5" t="s">
        <x:v>60</x:v>
      </x:c>
      <x:c r="F4" s="5" t="s">
        <x:v>61</x:v>
      </x:c>
      <x:c r="G4" s="5" t="s">
        <x:v>62</x:v>
      </x:c>
      <x:c r="H4" s="5" t="s">
        <x:v>63</x:v>
      </x:c>
    </x:row>
    <x:row r="5">
      <x:c r="A5" s="8" t="s">
        <x:v>64</x:v>
      </x:c>
      <x:c r="B5" s="8" t="s">
        <x:v>65</x:v>
      </x:c>
      <x:c r="C5" s="8" t="s">
        <x:v>66</x:v>
      </x:c>
      <x:c r="D5" s="8" t="s">
        <x:v>66</x:v>
      </x:c>
      <x:c r="E5" s="8" t="s">
        <x:v>67</x:v>
      </x:c>
      <x:c r="F5" s="10" t="s">
        <x:v>68</x:v>
      </x:c>
      <x:c r="G5" s="10" t="s">
        <x:v>69</x:v>
      </x:c>
      <x:c r="H5" s="8" t="s">
        <x:v>70</x:v>
      </x:c>
    </x:row>
    <x:row r="6">
      <x:c r="A6" s="5" t="s">
        <x:v>71</x:v>
      </x:c>
      <x:c r="B6" s="12">
        <x:v>46256.0</x:v>
      </x:c>
      <x:c r="C6" s="14" t="n">
        <x:f t="shared" ref="C6:H6" si="1">B6+1</x:f>
        <x:v>46257</x:v>
      </x:c>
      <x:c r="D6" s="14">
        <x:f t="shared" si="1"/>
        <x:v>46258</x:v>
      </x:c>
      <x:c r="E6" s="14">
        <x:f t="shared" si="1"/>
        <x:v>46259</x:v>
      </x:c>
      <x:c r="F6" s="14">
        <x:f t="shared" si="1"/>
        <x:v>46260</x:v>
      </x:c>
      <x:c r="G6" s="14">
        <x:f t="shared" si="1"/>
        <x:v>46261</x:v>
      </x:c>
      <x:c r="H6" s="14">
        <x:f t="shared" si="1"/>
        <x:v>46262</x:v>
      </x:c>
    </x:row>
    <x:row r="7">
      <x:c r="A7" s="5" t="s">
        <x:v>72</x:v>
      </x:c>
      <x:c r="B7" s="15">
        <x:v>0.7152777777777778</x:v>
      </x:c>
      <x:c r="C7" s="7">
        <x:v>0.7194444444444444</x:v>
      </x:c>
      <x:c r="D7" s="7" t="s">
        <x:v>73</x:v>
      </x:c>
      <x:c r="E7" s="7">
        <x:v>0.8006944444444445</x:v>
      </x:c>
      <x:c r="F7" s="7">
        <x:v>0.8388888888888889</x:v>
      </x:c>
      <x:c r="G7" s="7">
        <x:v>0.8854166666666666</x:v>
      </x:c>
      <x:c r="H7" s="7" t="s">
        <x:v>74</x:v>
      </x:c>
    </x:row>
    <x:row r="8">
      <x:c r="A8" s="5" t="s">
        <x:v>75</x:v>
      </x:c>
      <x:c r="B8" s="29" t="str">
        <x:f>IF(B7="","","ZT " &amp; TEXT(MOD(B7-METADATA!$B$19,1),"hh:mm"))</x:f>
        <x:v>ZT 19:10</x:v>
      </x:c>
      <x:c r="C8" s="29" t="str">
        <x:f>IF(C7="","","ZT " &amp; TEXT(MOD(C7-METADATA!$B$19,1),"hh:mm"))</x:f>
        <x:v>ZT 19:16</x:v>
      </x:c>
      <x:c r="D8" s="30" t="s">
        <x:v>73</x:v>
      </x:c>
      <x:c r="E8" s="29" t="str">
        <x:f>IF(E7="","","ZT " &amp; TEXT(MOD(E7-METADATA!$B$19,1),"hh:mm"))</x:f>
        <x:v>ZT 21:13</x:v>
      </x:c>
      <x:c r="F8" s="29" t="str">
        <x:f>IF(F7="","","ZT " &amp; TEXT(MOD(F7-METADATA!$B$19,1),"hh:mm"))</x:f>
        <x:v>ZT 22:08</x:v>
      </x:c>
      <x:c r="G8" s="29" t="str">
        <x:f>IF(G7="","","ZT " &amp; TEXT(MOD(G7-METADATA!$B$19,1),"hh:mm"))</x:f>
        <x:v>ZT 23:15</x:v>
      </x:c>
      <x:c r="H8" s="30" t="s">
        <x:v>74</x:v>
      </x:c>
    </x:row>
    <x:row r="9">
      <x:c r="A9" s="16" t="s">
        <x:v>76</x:v>
      </x:c>
      <x:c r="B9" s="34" t="n">
        <x:f>B6-METADATA!$F$5</x:f>
        <x:v>46256</x:v>
      </x:c>
      <x:c r="C9" s="34" t="n">
        <x:f>C6-METADATA!$F$5</x:f>
        <x:v>46257</x:v>
      </x:c>
      <x:c r="D9" s="34" t="n">
        <x:f>D6-METADATA!$F$5</x:f>
        <x:v>46258</x:v>
      </x:c>
      <x:c r="E9" s="34" t="n">
        <x:f>E6-METADATA!$F$5</x:f>
        <x:v>46259</x:v>
      </x:c>
      <x:c r="F9" s="34" t="n">
        <x:f>F6-METADATA!$F$5</x:f>
        <x:v>46260</x:v>
      </x:c>
      <x:c r="G9" s="34" t="n">
        <x:f>G6-METADATA!$F$5</x:f>
        <x:v>46261</x:v>
      </x:c>
      <x:c r="H9" s="34" t="n">
        <x:f>H6-METADATA!$F$5</x:f>
        <x:v>46262</x:v>
      </x:c>
    </x:row>
    <x:row r="10">
      <x:c r="A10" s="5" t="s">
        <x:v>77</x:v>
      </x:c>
      <x:c r="B10" s="35">
        <x:v>23.2</x:v>
      </x:c>
      <x:c r="C10" s="36">
        <x:v>23.2</x:v>
      </x:c>
      <x:c r="D10" s="36" t="s">
        <x:v>73</x:v>
      </x:c>
      <x:c r="E10" s="36">
        <x:v>21.3</x:v>
      </x:c>
      <x:c r="F10" s="36">
        <x:v>21.2</x:v>
      </x:c>
      <x:c r="G10" s="36">
        <x:v>20.8</x:v>
      </x:c>
      <x:c r="H10" s="36">
        <x:v>20.9</x:v>
      </x:c>
    </x:row>
    <x:row r="11">
      <x:c r="A11" s="5" t="s">
        <x:v>78</x:v>
      </x:c>
      <x:c r="B11" s="37" t="n">
        <x:f t="shared" ref="B11:H11" si="2">IFERROR(B10/$B$10,"-")</x:f>
        <x:v>1</x:v>
      </x:c>
      <x:c r="C11" s="37">
        <x:f t="shared" si="2"/>
        <x:v>1</x:v>
      </x:c>
      <x:c r="D11" s="37" t="str">
        <x:f t="shared" si="2"/>
        <x:v>-</x:v>
      </x:c>
      <x:c r="E11" s="37">
        <x:f t="shared" si="2"/>
        <x:v>0.9181034483</x:v>
      </x:c>
      <x:c r="F11" s="37">
        <x:f t="shared" si="2"/>
        <x:v>0.9137931034</x:v>
      </x:c>
      <x:c r="G11" s="37">
        <x:f t="shared" si="2"/>
        <x:v>0.8965517241</x:v>
      </x:c>
      <x:c r="H11" s="37">
        <x:f t="shared" si="2"/>
        <x:v>0.900862069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8" width="18.8799991607666" customWidth="1"/>
  </x:cols>
  <x:sheetData>
    <x:row r="1" ht="30" customHeight="1">
      <x:c r="A1" s="3" t="s">
        <x:v>79</x:v>
      </x:c>
      <x:c r="B1" s="2"/>
      <x:c r="C1" s="2"/>
      <x:c r="D1" s="2"/>
      <x:c r="E1" s="2"/>
      <x:c r="F1" s="2"/>
      <x:c r="G1" s="2"/>
      <x:c r="H1" s="2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5" t="s">
        <x:v>80</x:v>
      </x:c>
      <x:c r="B3" s="6" t="s">
        <x:v>81</x:v>
      </x:c>
      <x:c r="C3" s="5" t="s">
        <x:v>82</x:v>
      </x:c>
      <x:c r="D3" s="7">
        <x:v>0.7291666666666666</x:v>
      </x:c>
      <x:c r="E3" s="5" t="s">
        <x:v>83</x:v>
      </x:c>
      <x:c r="F3" s="13" t="str">
        <x:f>IF(D3="","","ZT " &amp; TEXT(MOD(D3-METADATA!$B$19,1),"hh:mm"))</x:f>
        <x:v>ZT 19:30</x:v>
      </x:c>
      <x:c r="G3" s="9"/>
      <x:c r="H3" s="4"/>
    </x:row>
    <x:row r="4">
      <x:c r="A4" s="5" t="s">
        <x:v>84</x:v>
      </x:c>
      <x:c r="B4" s="14">
        <x:v>46259.0</x:v>
      </x:c>
      <x:c r="C4" s="5" t="s">
        <x:v>85</x:v>
      </x:c>
      <x:c r="D4" s="7">
        <x:v>0.7493055555555556</x:v>
      </x:c>
      <x:c r="E4" s="5" t="s">
        <x:v>86</x:v>
      </x:c>
      <x:c r="F4" s="13" t="str">
        <x:f>IF(D4="","","ZT " &amp; TEXT(MOD(D4-METADATA!$B$19,1),"hh:mm"))</x:f>
        <x:v>ZT 19:59</x:v>
      </x:c>
      <x:c r="G4" s="9"/>
      <x:c r="H4" s="4"/>
    </x:row>
    <x:row r="5">
      <x:c r="A5" s="9"/>
      <x:c r="B5" s="9"/>
      <x:c r="C5" s="9"/>
      <x:c r="D5" s="9"/>
      <x:c r="E5" s="9"/>
      <x:c r="F5" s="9"/>
      <x:c r="G5" s="9"/>
      <x:c r="H5" s="4"/>
    </x:row>
    <x:row r="6">
      <x:c r="A6" s="9"/>
      <x:c r="B6" s="9"/>
      <x:c r="C6" s="9"/>
      <x:c r="D6" s="9"/>
      <x:c r="E6" s="9"/>
      <x:c r="F6" s="9"/>
      <x:c r="G6" s="9"/>
      <x:c r="H6" s="4"/>
    </x:row>
    <x:row r="7">
      <x:c r="A7" s="9"/>
      <x:c r="B7" s="9"/>
      <x:c r="C7" s="9"/>
      <x:c r="D7" s="9"/>
      <x:c r="E7" s="9"/>
      <x:c r="F7" s="9"/>
      <x:c r="G7" s="9"/>
      <x:c r="H7" s="4"/>
    </x:row>
    <x:row r="8">
      <x:c r="A8" s="19" t="s">
        <x:v>87</x:v>
      </x:c>
      <x:c r="B8" s="9"/>
      <x:c r="C8" s="9"/>
      <x:c r="D8" s="9"/>
      <x:c r="E8" s="9"/>
      <x:c r="F8" s="9"/>
      <x:c r="G8" s="9"/>
      <x:c r="H8" s="4"/>
    </x:row>
    <x:row r="9">
      <x:c r="A9" s="21" t="s">
        <x:v>88</x:v>
      </x:c>
      <x:c r="B9" s="22" t="s">
        <x:v>89</x:v>
      </x:c>
      <x:c r="C9" s="22" t="s">
        <x:v>90</x:v>
      </x:c>
      <x:c r="D9" s="22" t="s">
        <x:v>91</x:v>
      </x:c>
      <x:c r="E9" s="22" t="s">
        <x:v>92</x:v>
      </x:c>
      <x:c r="F9" s="23" t="s">
        <x:v>93</x:v>
      </x:c>
      <x:c r="G9" s="21" t="s">
        <x:v>94</x:v>
      </x:c>
      <x:c r="H9" s="4"/>
    </x:row>
    <x:row r="10">
      <x:c r="A10" s="5" t="s">
        <x:v>95</x:v>
      </x:c>
      <x:c r="B10" s="24" t="s">
        <x:v>96</x:v>
      </x:c>
      <x:c r="C10" s="24" t="s">
        <x:v>97</x:v>
      </x:c>
      <x:c r="D10" s="24" t="s">
        <x:v>98</x:v>
      </x:c>
      <x:c r="E10" s="24" t="s">
        <x:v>99</x:v>
      </x:c>
      <x:c r="F10" s="25" t="s">
        <x:v>100</x:v>
      </x:c>
      <x:c r="G10" s="6" t="s">
        <x:v>101</x:v>
      </x:c>
    </x:row>
    <x:row r="11">
      <x:c r="A11" s="5" t="s">
        <x:v>102</x:v>
      </x:c>
      <x:c r="B11" s="24" t="s">
        <x:v>103</x:v>
      </x:c>
      <x:c r="C11" s="24" t="s">
        <x:v>104</x:v>
      </x:c>
      <x:c r="D11" s="24" t="s">
        <x:v>105</x:v>
      </x:c>
      <x:c r="E11" s="24" t="s">
        <x:v>106</x:v>
      </x:c>
      <x:c r="F11" s="25" t="s">
        <x:v>107</x:v>
      </x:c>
      <x:c r="G11" s="17"/>
    </x:row>
    <x:row r="12">
      <x:c r="A12" s="5" t="s">
        <x:v>108</x:v>
      </x:c>
      <x:c r="B12" s="24" t="s">
        <x:v>109</x:v>
      </x:c>
      <x:c r="C12" s="24" t="s">
        <x:v>110</x:v>
      </x:c>
      <x:c r="D12" s="24" t="s">
        <x:v>111</x:v>
      </x:c>
      <x:c r="E12" s="24" t="s">
        <x:v>112</x:v>
      </x:c>
      <x:c r="F12" s="25" t="s">
        <x:v>100</x:v>
      </x:c>
      <x:c r="G12" s="17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8.8799991607666" customWidth="1"/>
    <x:col min="2" max="2" width="25.1299991607666" customWidth="1"/>
    <x:col min="3" max="8" width="18.8799991607666" customWidth="1"/>
  </x:cols>
  <x:sheetData>
    <x:row r="1" ht="30" customHeight="1">
      <x:c r="A1" s="3" t="s">
        <x:v>113</x:v>
      </x:c>
      <x:c r="B1" s="2"/>
      <x:c r="C1" s="2"/>
      <x:c r="D1" s="2"/>
      <x:c r="E1" s="2"/>
      <x:c r="F1" s="2"/>
      <x:c r="G1" s="2"/>
      <x:c r="H1" s="2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9"/>
      <x:c r="B2" s="9"/>
      <x:c r="C2" s="9"/>
      <x:c r="D2" s="9"/>
      <x:c r="E2" s="9"/>
      <x:c r="F2" s="9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80</x:v>
      </x:c>
      <x:c r="B3" s="6" t="s">
        <x:v>81</x:v>
      </x:c>
      <x:c r="C3" s="5" t="s">
        <x:v>82</x:v>
      </x:c>
      <x:c r="D3" s="15">
        <x:v>0.6854166666666667</x:v>
      </x:c>
      <x:c r="E3" s="5" t="s">
        <x:v>83</x:v>
      </x:c>
      <x:c r="F3" s="13" t="str">
        <x:f>IF(D3="","","ZT " &amp; TEXT(MOD(D3-METADATA!$B$19,1),"hh:mm"))</x:f>
        <x:v>ZT 18:27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84</x:v>
      </x:c>
      <x:c r="B4" s="12">
        <x:v>46260.0</x:v>
      </x:c>
      <x:c r="C4" s="5" t="s">
        <x:v>85</x:v>
      </x:c>
      <x:c r="D4" s="15">
        <x:v>0.71875</x:v>
      </x:c>
      <x:c r="E4" s="5" t="s">
        <x:v>86</x:v>
      </x:c>
      <x:c r="F4" s="13" t="str">
        <x:f>IF(D4="","","ZT " &amp; TEXT(MOD(D4-METADATA!$B$19,1),"hh:mm"))</x:f>
        <x:v>ZT 19:15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9"/>
      <x:c r="B5" s="9"/>
      <x:c r="C5" s="9"/>
      <x:c r="D5" s="9"/>
      <x:c r="E5" s="9"/>
      <x:c r="F5" s="9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9.5" customHeight="1">
      <x:c r="A6" s="21" t="s">
        <x:v>114</x:v>
      </x:c>
      <x:c r="B6" s="21" t="s">
        <x:v>115</x:v>
      </x:c>
      <x:c r="C6" s="28" t="s">
        <x:v>116</x:v>
      </x:c>
      <x:c r="D6" s="28" t="s">
        <x:v>117</x:v>
      </x:c>
      <x:c r="E6" s="28" t="s">
        <x:v>118</x:v>
      </x:c>
      <x:c r="F6" s="21" t="s">
        <x:v>94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">
        <x:v>1.0</x:v>
      </x:c>
      <x:c r="B7" s="5" t="s">
        <x:v>119</x:v>
      </x:c>
      <x:c r="C7" s="5" t="s">
        <x:v>120</x:v>
      </x:c>
      <x:c r="D7" s="31">
        <x:v>191.0</x:v>
      </x:c>
      <x:c r="E7" s="31">
        <x:v>191.0</x:v>
      </x:c>
      <x:c r="F7" s="17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5">
        <x:v>2.0</x:v>
      </x:c>
      <x:c r="B8" s="5" t="s">
        <x:v>121</x:v>
      </x:c>
      <x:c r="C8" s="5" t="s">
        <x:v>122</x:v>
      </x:c>
      <x:c r="D8" s="31">
        <x:v>115.0</x:v>
      </x:c>
      <x:c r="E8" s="31">
        <x:v>115.0</x:v>
      </x:c>
      <x:c r="F8" s="17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5">
        <x:v>3.0</x:v>
      </x:c>
      <x:c r="B9" s="5" t="s">
        <x:v>123</x:v>
      </x:c>
      <x:c r="C9" s="5" t="s">
        <x:v>124</x:v>
      </x:c>
      <x:c r="D9" s="31">
        <x:v>160.0</x:v>
      </x:c>
      <x:c r="E9" s="31">
        <x:v>160.0</x:v>
      </x:c>
      <x:c r="F9" s="17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">
        <x:v>4.0</x:v>
      </x:c>
      <x:c r="B10" s="5" t="s">
        <x:v>125</x:v>
      </x:c>
      <x:c r="C10" s="5" t="s">
        <x:v>126</x:v>
      </x:c>
      <x:c r="D10" s="31">
        <x:v>38.0</x:v>
      </x:c>
      <x:c r="E10" s="31">
        <x:v>151.0</x:v>
      </x:c>
      <x:c r="F10" s="17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">
        <x:v>5.0</x:v>
      </x:c>
      <x:c r="B11" s="5" t="s">
        <x:v>127</x:v>
      </x:c>
      <x:c r="C11" s="5" t="s">
        <x:v>120</x:v>
      </x:c>
      <x:c r="D11" s="31">
        <x:v>23.0</x:v>
      </x:c>
      <x:c r="E11" s="31">
        <x:v>131.0</x:v>
      </x:c>
      <x:c r="F11" s="17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">
        <x:v>6.0</x:v>
      </x:c>
      <x:c r="B12" s="5" t="s">
        <x:v>128</x:v>
      </x:c>
      <x:c r="C12" s="5" t="s">
        <x:v>122</x:v>
      </x:c>
      <x:c r="D12" s="31">
        <x:v>278.0</x:v>
      </x:c>
      <x:c r="E12" s="31">
        <x:v>354.0</x:v>
      </x:c>
      <x:c r="F12" s="17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">
        <x:v>7.0</x:v>
      </x:c>
      <x:c r="B13" s="16" t="s">
        <x:v>129</x:v>
      </x:c>
      <x:c r="C13" s="5" t="s">
        <x:v>124</x:v>
      </x:c>
      <x:c r="D13" s="31">
        <x:v>248.0</x:v>
      </x:c>
      <x:c r="E13" s="31">
        <x:v>249.0</x:v>
      </x:c>
      <x:c r="F13" s="17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">
        <x:v>8.0</x:v>
      </x:c>
      <x:c r="B14" s="16" t="s">
        <x:v>130</x:v>
      </x:c>
      <x:c r="C14" s="5" t="s">
        <x:v>126</x:v>
      </x:c>
      <x:c r="D14" s="31">
        <x:v>78.0</x:v>
      </x:c>
      <x:c r="E14" s="31">
        <x:v>121.0</x:v>
      </x:c>
      <x:c r="F14" s="17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">
        <x:v>9.0</x:v>
      </x:c>
      <x:c r="B15" s="5" t="s">
        <x:v>131</x:v>
      </x:c>
      <x:c r="C15" s="5" t="s">
        <x:v>120</x:v>
      </x:c>
      <x:c r="D15" s="31">
        <x:v>156.0</x:v>
      </x:c>
      <x:c r="E15" s="31">
        <x:v>171.0</x:v>
      </x:c>
      <x:c r="F15" s="17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5">
        <x:v>10.0</x:v>
      </x:c>
      <x:c r="B16" s="5" t="s">
        <x:v>131</x:v>
      </x:c>
      <x:c r="C16" s="5" t="s">
        <x:v>122</x:v>
      </x:c>
      <x:c r="D16" s="31">
        <x:v>22.0</x:v>
      </x:c>
      <x:c r="E16" s="31">
        <x:v>23.0</x:v>
      </x:c>
      <x:c r="F16" s="17"/>
    </x:row>
    <x:row r="17">
      <x:c r="A17" s="5">
        <x:v>11.0</x:v>
      </x:c>
      <x:c r="B17" s="5" t="s">
        <x:v>131</x:v>
      </x:c>
      <x:c r="C17" s="5" t="s">
        <x:v>124</x:v>
      </x:c>
      <x:c r="D17" s="31">
        <x:v>40.0</x:v>
      </x:c>
      <x:c r="E17" s="31">
        <x:v>46.0</x:v>
      </x:c>
      <x:c r="F17" s="17"/>
    </x:row>
    <x:row r="18">
      <x:c r="A18" s="5">
        <x:v>12.0</x:v>
      </x:c>
      <x:c r="B18" s="5" t="s">
        <x:v>131</x:v>
      </x:c>
      <x:c r="C18" s="5" t="s">
        <x:v>126</x:v>
      </x:c>
      <x:c r="D18" s="31">
        <x:v>120.0</x:v>
      </x:c>
      <x:c r="E18" s="31">
        <x:v>176.0</x:v>
      </x:c>
      <x:c r="F18" s="17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25" customWidth="1"/>
    <x:col min="9" max="9" width="18.8799991607666" customWidth="1"/>
  </x:cols>
  <x:sheetData>
    <x:row r="1" ht="30" customHeight="1">
      <x:c r="A1" s="40" t="s">
        <x:v>132</x:v>
      </x:c>
      <x:c r="B1" s="2"/>
      <x:c r="C1" s="2"/>
      <x:c r="D1" s="2"/>
      <x:c r="E1" s="2"/>
      <x:c r="F1" s="2"/>
      <x:c r="G1" s="2"/>
      <x:c r="H1" s="2"/>
      <x:c r="I1" s="2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14.25" customHeight="1">
      <x:c r="A3" s="5" t="s">
        <x:v>80</x:v>
      </x:c>
      <x:c r="B3" s="6" t="s">
        <x:v>81</x:v>
      </x:c>
      <x:c r="C3" s="5" t="s">
        <x:v>82</x:v>
      </x:c>
      <x:c r="D3" s="41">
        <x:v>0.7118055555555556</x:v>
      </x:c>
      <x:c r="E3" s="5" t="s">
        <x:v>83</x:v>
      </x:c>
      <x:c r="F3" s="13" t="str">
        <x:f>IF(D3="","","ZT " &amp; TEXT(MOD(D3-METADATA!$B$19,1),"hh:mm"))</x:f>
        <x:v>ZT 19:05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 ht="14.25" customHeight="1">
      <x:c r="A4" s="5" t="s">
        <x:v>84</x:v>
      </x:c>
      <x:c r="B4" s="12">
        <x:v>46261.0</x:v>
      </x:c>
      <x:c r="C4" s="5" t="s">
        <x:v>85</x:v>
      </x:c>
      <x:c r="D4" s="41">
        <x:v>0.7888888888888889</x:v>
      </x:c>
      <x:c r="E4" s="5" t="s">
        <x:v>86</x:v>
      </x:c>
      <x:c r="F4" s="13" t="str">
        <x:f>IF(D4="","","ZT " &amp; TEXT(MOD(D4-METADATA!$B$19,1),"hh:mm"))</x:f>
        <x:v>ZT 20:56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14.25" customHeight="1">
      <x:c r="A6" s="42" t="s">
        <x:v>133</x:v>
      </x:c>
      <x:c r="B6" s="43" t="s">
        <x:v>134</x:v>
      </x:c>
      <x:c r="C6" s="4"/>
      <x:c r="D6" s="42" t="s">
        <x:v>135</x:v>
      </x:c>
      <x:c r="E6" s="43" t="s">
        <x:v>136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14.25" customHeight="1">
      <x:c r="A7" s="42" t="s">
        <x:v>137</x:v>
      </x:c>
      <x:c r="B7" s="43" t="s">
        <x:v>138</x:v>
      </x:c>
      <x:c r="C7" s="43" t="s">
        <x:v>139</x:v>
      </x:c>
      <x:c r="D7" s="43" t="s">
        <x:v>140</x:v>
      </x:c>
      <x:c r="E7" s="43" t="s">
        <x:v>141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29.25" customHeight="1">
      <x:c r="A9" s="44" t="s">
        <x:v>114</x:v>
      </x:c>
      <x:c r="B9" s="45" t="s">
        <x:v>142</x:v>
      </x:c>
      <x:c r="C9" s="46" t="s">
        <x:v>143</x:v>
      </x:c>
      <x:c r="D9" s="44" t="s">
        <x:v>144</x:v>
      </x:c>
      <x:c r="E9" s="44" t="s">
        <x:v>145</x:v>
      </x:c>
      <x:c r="F9" s="44" t="s">
        <x:v>146</x:v>
      </x:c>
      <x:c r="G9" s="44" t="s">
        <x:v>147</x:v>
      </x:c>
      <x:c r="H9" s="44" t="s">
        <x:v>148</x:v>
      </x:c>
      <x:c r="I9" s="44" t="s">
        <x:v>94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14.25" customHeight="1">
      <x:c r="A10" s="47">
        <x:v>1.0</x:v>
      </x:c>
      <x:c r="B10" s="47" t="s">
        <x:v>149</x:v>
      </x:c>
      <x:c r="C10" s="48" t="str">
        <x:f t="array" ref="C10">IFS(D10="","", D10="A","NW", D10="B","NE", D10="C","SW", D10="D","SE",D10="Omit", "")</x:f>
      </x:c>
      <x:c r="D10" s="6" t="s">
        <x:v>150</x:v>
      </x:c>
      <x:c r="E10" s="49" t="str">
        <x:f t="shared" ref="E10:E129" si="1">IF(D10="","",IF(D10="A","Correct","Incorrect"))</x:f>
        <x:v>Incorrect</x:v>
      </x:c>
      <x:c r="F10" s="50">
        <x:v>180.0</x:v>
      </x:c>
      <x:c r="G10" s="51" t="s">
        <x:v>151</x:v>
      </x:c>
      <x:c r="H10" s="29" t="str">
        <x:f t="array" ref="H10">IF($G10="","",TEXTJOIN("",TRUE,MID($B10,MID($G10,SEQUENCE(LEN($G10),1),1)+0,1)))</x:f>
        <x:v>Error: #VALUE!</x:v>
      </x:c>
      <x:c r="I10" s="5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14.25" customHeight="1">
      <x:c r="A11" s="47">
        <x:v>2.0</x:v>
      </x:c>
      <x:c r="B11" s="47" t="s">
        <x:v>152</x:v>
      </x:c>
      <x:c r="C11" s="48" t="str">
        <x:f t="array" ref="C11">IFS(D11="","", D11="A","SE", D11="B","NW", D11="C","NE", D11="D","SW",D11="Omit", "")</x:f>
        <x:v>NW</x:v>
      </x:c>
      <x:c r="D11" s="6" t="s">
        <x:v>153</x:v>
      </x:c>
      <x:c r="E11" s="49" t="str">
        <x:f t="shared" si="1"/>
        <x:v>Incorrect</x:v>
      </x:c>
      <x:c r="F11" s="50">
        <x:v>74.0</x:v>
      </x:c>
      <x:c r="G11" s="51" t="s">
        <x:v>154</x:v>
      </x:c>
      <x:c r="H11" s="29" t="str">
        <x:f t="array" ref="H11">IF($G11="","",TEXTJOIN("",TRUE,MID($B11,MID($G11,SEQUENCE(LEN($G11),1),1)+0,1)))</x:f>
        <x:v>Error: #VALUE!</x:v>
      </x:c>
      <x:c r="I11" s="17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14.25" customHeight="1">
      <x:c r="A12" s="47">
        <x:v>3.0</x:v>
      </x:c>
      <x:c r="B12" s="47" t="s">
        <x:v>155</x:v>
      </x:c>
      <x:c r="C12" s="48" t="str">
        <x:f t="array" ref="C12">IFS(D12="","", D12="A","SW", D12="B","SE", D12="C","NW", D12="D","NE",D12="Omit", "")</x:f>
      </x:c>
      <x:c r="D12" s="6" t="s">
        <x:v>150</x:v>
      </x:c>
      <x:c r="E12" s="49" t="str">
        <x:f t="shared" si="1"/>
        <x:v>Incorrect</x:v>
      </x:c>
      <x:c r="F12" s="50">
        <x:v>180.0</x:v>
      </x:c>
      <x:c r="G12" s="51" t="s">
        <x:v>156</x:v>
      </x:c>
      <x:c r="H12" s="29" t="str">
        <x:f t="array" ref="H12">IF($G12="","",TEXTJOIN("",TRUE,MID($B12,MID($G12,SEQUENCE(LEN($G12),1),1)+0,1)))</x:f>
        <x:v>Error: #VALUE!</x:v>
      </x:c>
      <x:c r="I12" s="51" t="s">
        <x:v>157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14.25" customHeight="1">
      <x:c r="A13" s="47">
        <x:v>4.0</x:v>
      </x:c>
      <x:c r="B13" s="47" t="s">
        <x:v>158</x:v>
      </x:c>
      <x:c r="C13" s="48" t="str">
        <x:f t="array" ref="C13">IFS(D13="","", D13="A","NE", D13="B","SW", D13="C","SE", D13="D","NW",D13="Omit", "")</x:f>
        <x:v>NW</x:v>
      </x:c>
      <x:c r="D13" s="6" t="s">
        <x:v>159</x:v>
      </x:c>
      <x:c r="E13" s="49" t="str">
        <x:f t="shared" si="1"/>
        <x:v>Incorrect</x:v>
      </x:c>
      <x:c r="F13" s="50">
        <x:v>14.0</x:v>
      </x:c>
      <x:c r="G13" s="51" t="s">
        <x:v>160</x:v>
      </x:c>
      <x:c r="H13" s="29" t="str">
        <x:f t="array" ref="H13">IF($G13="","",TEXTJOIN("",TRUE,MID($B13,MID($G13,SEQUENCE(LEN($G13),1),1)+0,1)))</x:f>
        <x:v>Error: #VALUE!</x:v>
      </x:c>
      <x:c r="I13" s="5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14.25" customHeight="1">
      <x:c r="A14" s="47">
        <x:v>5.0</x:v>
      </x:c>
      <x:c r="B14" s="47" t="s">
        <x:v>149</x:v>
      </x:c>
      <x:c r="C14" s="48" t="str">
        <x:f t="array" ref="C14">IFS(D14="","", D14="A","NW", D14="B","NE", D14="C","SW", D14="D","SE",D14="Omit", "")</x:f>
        <x:v>NW</x:v>
      </x:c>
      <x:c r="D14" s="6" t="s">
        <x:v>161</x:v>
      </x:c>
      <x:c r="E14" s="56" t="str">
        <x:f t="shared" si="1"/>
        <x:v>Correct</x:v>
      </x:c>
      <x:c r="F14" s="50">
        <x:v>26.0</x:v>
      </x:c>
      <x:c r="G14" s="51" t="s">
        <x:v>162</x:v>
      </x:c>
      <x:c r="H14" s="29" t="str">
        <x:f t="array" ref="H14">IF($G14="","",TEXTJOIN("",TRUE,MID($B14,MID($G14,SEQUENCE(LEN($G14),1),1)+0,1)))</x:f>
        <x:v>Error: #VALUE!</x:v>
      </x:c>
      <x:c r="I14" s="51" t="s">
        <x:v>163</x:v>
      </x:c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14.25" customHeight="1">
      <x:c r="A15" s="47">
        <x:v>6.0</x:v>
      </x:c>
      <x:c r="B15" s="47" t="s">
        <x:v>152</x:v>
      </x:c>
      <x:c r="C15" s="48" t="str">
        <x:f t="array" ref="C15">IFS(D15="","", D15="A","SE", D15="B","NW", D15="C","NE", D15="D","SW",D15="Omit", "")</x:f>
        <x:v>NW</x:v>
      </x:c>
      <x:c r="D15" s="6" t="s">
        <x:v>153</x:v>
      </x:c>
      <x:c r="E15" s="49" t="str">
        <x:f t="shared" si="1"/>
        <x:v>Incorrect</x:v>
      </x:c>
      <x:c r="F15" s="50">
        <x:v>82.0</x:v>
      </x:c>
      <x:c r="G15" s="51" t="s">
        <x:v>164</x:v>
      </x:c>
      <x:c r="H15" s="29" t="str">
        <x:f t="array" ref="H15">IF($G15="","",TEXTJOIN("",TRUE,MID($B15,MID($G15,SEQUENCE(LEN($G15),1),1)+0,1)))</x:f>
        <x:v>Error: #VALUE!</x:v>
      </x:c>
      <x:c r="I15" s="5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14.25" customHeight="1">
      <x:c r="A16" s="47">
        <x:v>7.0</x:v>
      </x:c>
      <x:c r="B16" s="47" t="s">
        <x:v>155</x:v>
      </x:c>
      <x:c r="C16" s="48" t="str">
        <x:f t="array" ref="C16">IFS(D16="","", D16="A","SW", D16="B","SE", D16="C","NW", D16="D","NE",D16="Omit", "")</x:f>
        <x:v>NE</x:v>
      </x:c>
      <x:c r="D16" s="6" t="s">
        <x:v>159</x:v>
      </x:c>
      <x:c r="E16" s="49" t="str">
        <x:f t="shared" si="1"/>
        <x:v>Incorrect</x:v>
      </x:c>
      <x:c r="F16" s="50">
        <x:v>63.0</x:v>
      </x:c>
      <x:c r="G16" s="51" t="s">
        <x:v>165</x:v>
      </x:c>
      <x:c r="H16" s="29" t="str">
        <x:f t="array" ref="H16">IF($G16="","",TEXTJOIN("",TRUE,MID($B16,MID($G16,SEQUENCE(LEN($G16),1),1)+0,1)))</x:f>
        <x:v>Error: #VALUE!</x:v>
      </x:c>
      <x:c r="I16" s="5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14.25" customHeight="1">
      <x:c r="A17" s="47">
        <x:v>8.0</x:v>
      </x:c>
      <x:c r="B17" s="47" t="s">
        <x:v>158</x:v>
      </x:c>
      <x:c r="C17" s="48" t="str">
        <x:f t="array" ref="C17">IFS(D17="","", D17="A","NE", D17="B","SW", D17="C","SE", D17="D","NW",D17="Omit", "")</x:f>
        <x:v>NE</x:v>
      </x:c>
      <x:c r="D17" s="6" t="s">
        <x:v>161</x:v>
      </x:c>
      <x:c r="E17" s="56" t="str">
        <x:f t="shared" si="1"/>
        <x:v>Correct</x:v>
      </x:c>
      <x:c r="F17" s="50">
        <x:v>149.0</x:v>
      </x:c>
      <x:c r="G17" s="51" t="s">
        <x:v>166</x:v>
      </x:c>
      <x:c r="H17" s="29" t="str">
        <x:f t="array" ref="H17">IF($G17="","",TEXTJOIN("",TRUE,MID($B17,MID($G17,SEQUENCE(LEN($G17),1),1)+0,1)))</x:f>
        <x:v>Error: #VALUE!</x:v>
      </x:c>
      <x:c r="I17" s="51" t="s">
        <x:v>157</x:v>
      </x:c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14.25" customHeight="1">
      <x:c r="A18" s="47">
        <x:v>9.0</x:v>
      </x:c>
      <x:c r="B18" s="47" t="s">
        <x:v>149</x:v>
      </x:c>
      <x:c r="C18" s="48" t="str">
        <x:f t="array" ref="C18">IFS(D18="","", D18="A","NW", D18="B","NE", D18="C","SW", D18="D","SE",D18="Omit", "")</x:f>
        <x:v>NE</x:v>
      </x:c>
      <x:c r="D18" s="6" t="s">
        <x:v>153</x:v>
      </x:c>
      <x:c r="E18" s="49" t="str">
        <x:f t="shared" si="1"/>
        <x:v>Incorrect</x:v>
      </x:c>
      <x:c r="F18" s="50">
        <x:v>81.0</x:v>
      </x:c>
      <x:c r="G18" s="51" t="s">
        <x:v>167</x:v>
      </x:c>
      <x:c r="H18" s="29" t="str">
        <x:f t="array" ref="H18">IF($G18="","",TEXTJOIN("",TRUE,MID($B18,MID($G18,SEQUENCE(LEN($G18),1),1)+0,1)))</x:f>
        <x:v>Error: #VALUE!</x:v>
      </x:c>
      <x:c r="I18" s="5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4.25" customHeight="1">
      <x:c r="A19" s="47">
        <x:v>10.0</x:v>
      </x:c>
      <x:c r="B19" s="47" t="s">
        <x:v>152</x:v>
      </x:c>
      <x:c r="C19" s="48" t="str">
        <x:f t="array" ref="C19">IFS(D19="","", D19="A","SE", D19="B","NW", D19="C","NE", D19="D","SW",D19="Omit", "")</x:f>
        <x:v>NW</x:v>
      </x:c>
      <x:c r="D19" s="6" t="s">
        <x:v>153</x:v>
      </x:c>
      <x:c r="E19" s="49" t="str">
        <x:f t="shared" si="1"/>
        <x:v>Incorrect</x:v>
      </x:c>
      <x:c r="F19" s="50">
        <x:v>162.0</x:v>
      </x:c>
      <x:c r="G19" s="51" t="s">
        <x:v>168</x:v>
      </x:c>
      <x:c r="H19" s="29" t="str">
        <x:f t="array" ref="H19">IF($G19="","",TEXTJOIN("",TRUE,MID($B19,MID($G19,SEQUENCE(LEN($G19),1),1)+0,1)))</x:f>
        <x:v>Error: #VALUE!</x:v>
      </x:c>
      <x:c r="I19" s="51" t="s">
        <x:v>157</x:v>
      </x:c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14.25" customHeight="1">
      <x:c r="A20" s="47">
        <x:v>11.0</x:v>
      </x:c>
      <x:c r="B20" s="47" t="s">
        <x:v>155</x:v>
      </x:c>
      <x:c r="C20" s="48" t="str">
        <x:f t="array" ref="C20">IFS(D20="","", D20="A","SW", D20="B","SE", D20="C","NW", D20="D","NE",D20="Omit", "")</x:f>
        <x:v>NE</x:v>
      </x:c>
      <x:c r="D20" s="6" t="s">
        <x:v>159</x:v>
      </x:c>
      <x:c r="E20" s="49" t="str">
        <x:f t="shared" si="1"/>
        <x:v>Incorrect</x:v>
      </x:c>
      <x:c r="F20" s="50">
        <x:v>48.0</x:v>
      </x:c>
      <x:c r="G20" s="51" t="s">
        <x:v>169</x:v>
      </x:c>
      <x:c r="H20" s="29" t="str">
        <x:f t="array" ref="H20">IF($G20="","",TEXTJOIN("",TRUE,MID($B20,MID($G20,SEQUENCE(LEN($G20),1),1)+0,1)))</x:f>
        <x:v>Error: #VALUE!</x:v>
      </x:c>
      <x:c r="I20" s="5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 ht="14.25" customHeight="1">
      <x:c r="A21" s="47">
        <x:v>12.0</x:v>
      </x:c>
      <x:c r="B21" s="47" t="s">
        <x:v>158</x:v>
      </x:c>
      <x:c r="C21" s="48" t="str">
        <x:f t="array" ref="C21">IFS(D21="","", D21="A","NE", D21="B","SW", D21="C","SE", D21="D","NW",D21="Omit", "")</x:f>
        <x:v>NE</x:v>
      </x:c>
      <x:c r="D21" s="6" t="s">
        <x:v>161</x:v>
      </x:c>
      <x:c r="E21" s="56" t="str">
        <x:f t="shared" si="1"/>
        <x:v>Correct</x:v>
      </x:c>
      <x:c r="F21" s="50">
        <x:v>17.0</x:v>
      </x:c>
      <x:c r="G21" s="51" t="s">
        <x:v>170</x:v>
      </x:c>
      <x:c r="H21" s="29" t="str">
        <x:f t="array" ref="H21">IF($G21="","",TEXTJOIN("",TRUE,MID($B21,MID($G21,SEQUENCE(LEN($G21),1),1)+0,1)))</x:f>
        <x:v>Error: #VALUE!</x:v>
      </x:c>
      <x:c r="I21" s="5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 ht="14.25" customHeight="1">
      <x:c r="A22" s="47">
        <x:v>13.0</x:v>
      </x:c>
      <x:c r="B22" s="47" t="s">
        <x:v>149</x:v>
      </x:c>
      <x:c r="C22" s="48" t="str">
        <x:f t="array" ref="C22">IFS(D22="","", D22="A","NW", D22="B","NE", D22="C","SW", D22="D","SE",D22="Omit", "")</x:f>
        <x:v>NE</x:v>
      </x:c>
      <x:c r="D22" s="6" t="s">
        <x:v>153</x:v>
      </x:c>
      <x:c r="E22" s="49" t="str">
        <x:f t="shared" si="1"/>
        <x:v>Incorrect</x:v>
      </x:c>
      <x:c r="F22" s="50">
        <x:v>75.0</x:v>
      </x:c>
      <x:c r="G22" s="51" t="s">
        <x:v>171</x:v>
      </x:c>
      <x:c r="H22" s="29" t="str">
        <x:f t="array" ref="H22">IF($G22="","",TEXTJOIN("",TRUE,MID($B22,MID($G22,SEQUENCE(LEN($G22),1),1)+0,1)))</x:f>
        <x:v>Error: #VALUE!</x:v>
      </x:c>
      <x:c r="I22" s="5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 ht="14.25" customHeight="1">
      <x:c r="A23" s="47">
        <x:v>14.0</x:v>
      </x:c>
      <x:c r="B23" s="47" t="s">
        <x:v>152</x:v>
      </x:c>
      <x:c r="C23" s="48" t="str">
        <x:f t="array" ref="C23">IFS(D23="","", D23="A","SE", D23="B","NW", D23="C","NE", D23="D","SW",D23="Omit", "")</x:f>
        <x:v>SE</x:v>
      </x:c>
      <x:c r="D23" s="6" t="s">
        <x:v>161</x:v>
      </x:c>
      <x:c r="E23" s="56" t="str">
        <x:f t="shared" si="1"/>
        <x:v>Correct</x:v>
      </x:c>
      <x:c r="F23" s="50">
        <x:v>52.0</x:v>
      </x:c>
      <x:c r="G23" s="51" t="s">
        <x:v>172</x:v>
      </x:c>
      <x:c r="H23" s="29" t="str">
        <x:f t="array" ref="H23">IF($G23="","",TEXTJOIN("",TRUE,MID($B23,MID($G23,SEQUENCE(LEN($G23),1),1)+0,1)))</x:f>
        <x:v>Error: #VALUE!</x:v>
      </x:c>
      <x:c r="I23" s="5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 ht="14.25" customHeight="1">
      <x:c r="A24" s="47">
        <x:v>15.0</x:v>
      </x:c>
      <x:c r="B24" s="47" t="s">
        <x:v>155</x:v>
      </x:c>
      <x:c r="C24" s="48" t="str">
        <x:f t="array" ref="C24">IFS(D24="","", D24="A","SW", D24="B","SE", D24="C","NW", D24="D","NE",D24="Omit", "")</x:f>
        <x:v>SW</x:v>
      </x:c>
      <x:c r="D24" s="6" t="s">
        <x:v>161</x:v>
      </x:c>
      <x:c r="E24" s="56" t="str">
        <x:f t="shared" si="1"/>
        <x:v>Correct</x:v>
      </x:c>
      <x:c r="F24" s="50">
        <x:v>101.0</x:v>
      </x:c>
      <x:c r="G24" s="51" t="s">
        <x:v>173</x:v>
      </x:c>
      <x:c r="H24" s="29" t="str">
        <x:f t="array" ref="H24">IF($G24="","",TEXTJOIN("",TRUE,MID($B24,MID($G24,SEQUENCE(LEN($G24),1),1)+0,1)))</x:f>
        <x:v>Error: #VALUE!</x:v>
      </x:c>
      <x:c r="I24" s="51" t="s">
        <x:v>157</x:v>
      </x:c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 ht="14.25" customHeight="1">
      <x:c r="A25" s="47">
        <x:v>16.0</x:v>
      </x:c>
      <x:c r="B25" s="47" t="s">
        <x:v>158</x:v>
      </x:c>
      <x:c r="C25" s="48" t="str">
        <x:f t="array" ref="C25">IFS(D25="","", D25="A","NE", D25="B","SW", D25="C","SE", D25="D","NW",D25="Omit", "")</x:f>
        <x:v>NE</x:v>
      </x:c>
      <x:c r="D25" s="6" t="s">
        <x:v>161</x:v>
      </x:c>
      <x:c r="E25" s="56" t="str">
        <x:f t="shared" si="1"/>
        <x:v>Correct</x:v>
      </x:c>
      <x:c r="F25" s="50">
        <x:v>31.0</x:v>
      </x:c>
      <x:c r="G25" s="51" t="s">
        <x:v>174</x:v>
      </x:c>
      <x:c r="H25" s="29" t="str">
        <x:f t="array" ref="H25">IF($G25="","",TEXTJOIN("",TRUE,MID($B25,MID($G25,SEQUENCE(LEN($G25),1),1)+0,1)))</x:f>
        <x:v>Error: #VALUE!</x:v>
      </x:c>
      <x:c r="I25" s="51" t="s">
        <x:v>175</x:v>
      </x:c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 ht="14.25" customHeight="1">
      <x:c r="A26" s="47">
        <x:v>17.0</x:v>
      </x:c>
      <x:c r="B26" s="47" t="s">
        <x:v>149</x:v>
      </x:c>
      <x:c r="C26" s="48" t="str">
        <x:f t="array" ref="C26">IFS(D26="","", D26="A","NW", D26="B","NE", D26="C","SW", D26="D","SE",D26="Omit", "")</x:f>
        <x:v>SE</x:v>
      </x:c>
      <x:c r="D26" s="6" t="s">
        <x:v>159</x:v>
      </x:c>
      <x:c r="E26" s="49" t="str">
        <x:f t="shared" si="1"/>
        <x:v>Incorrect</x:v>
      </x:c>
      <x:c r="F26" s="50">
        <x:v>28.0</x:v>
      </x:c>
      <x:c r="G26" s="51" t="s">
        <x:v>176</x:v>
      </x:c>
      <x:c r="H26" s="29" t="str">
        <x:f t="array" ref="H26">IF($G26="","",TEXTJOIN("",TRUE,MID($B26,MID($G26,SEQUENCE(LEN($G26),1),1)+0,1)))</x:f>
        <x:v>Error: #VALUE!</x:v>
      </x:c>
      <x:c r="I26" s="5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 ht="14.25" customHeight="1">
      <x:c r="A27" s="47">
        <x:v>18.0</x:v>
      </x:c>
      <x:c r="B27" s="47" t="s">
        <x:v>152</x:v>
      </x:c>
      <x:c r="C27" s="48" t="str">
        <x:f t="array" ref="C27">IFS(D27="","", D27="A","SE", D27="B","NW", D27="C","NE", D27="D","SW",D27="Omit", "")</x:f>
        <x:v>SE</x:v>
      </x:c>
      <x:c r="D27" s="6" t="s">
        <x:v>161</x:v>
      </x:c>
      <x:c r="E27" s="56" t="str">
        <x:f t="shared" si="1"/>
        <x:v>Correct</x:v>
      </x:c>
      <x:c r="F27" s="50">
        <x:v>113.0</x:v>
      </x:c>
      <x:c r="G27" s="51" t="s">
        <x:v>177</x:v>
      </x:c>
      <x:c r="H27" s="29" t="str">
        <x:f t="array" ref="H27">IF($G27="","",TEXTJOIN("",TRUE,MID($B27,MID($G27,SEQUENCE(LEN($G27),1),1)+0,1)))</x:f>
        <x:v>Error: #VALUE!</x:v>
      </x:c>
      <x:c r="I27" s="5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</x:row>
    <x:row r="28" ht="14.25" customHeight="1">
      <x:c r="A28" s="47">
        <x:v>19.0</x:v>
      </x:c>
      <x:c r="B28" s="47" t="s">
        <x:v>155</x:v>
      </x:c>
      <x:c r="C28" s="48" t="str">
        <x:f t="array" ref="C28">IFS(D28="","", D28="A","SW", D28="B","SE", D28="C","NW", D28="D","NE",D28="Omit", "")</x:f>
        <x:v>NE</x:v>
      </x:c>
      <x:c r="D28" s="6" t="s">
        <x:v>159</x:v>
      </x:c>
      <x:c r="E28" s="49" t="str">
        <x:f t="shared" si="1"/>
        <x:v>Incorrect</x:v>
      </x:c>
      <x:c r="F28" s="50">
        <x:v>175.0</x:v>
      </x:c>
      <x:c r="G28" s="51" t="s">
        <x:v>178</x:v>
      </x:c>
      <x:c r="H28" s="29" t="str">
        <x:f t="array" ref="H28">IF($G28="","",TEXTJOIN("",TRUE,MID($B28,MID($G28,SEQUENCE(LEN($G28),1),1)+0,1)))</x:f>
        <x:v>Error: #VALUE!</x:v>
      </x:c>
      <x:c r="I28" s="5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</x:row>
    <x:row r="29" ht="14.25" customHeight="1">
      <x:c r="A29" s="47">
        <x:v>20.0</x:v>
      </x:c>
      <x:c r="B29" s="47" t="s">
        <x:v>158</x:v>
      </x:c>
      <x:c r="C29" s="48" t="str">
        <x:f t="array" ref="C29">IFS(D29="","", D29="A","NE", D29="B","SW", D29="C","SE", D29="D","NW",D29="Omit", "")</x:f>
        <x:v>NE</x:v>
      </x:c>
      <x:c r="D29" s="6" t="s">
        <x:v>161</x:v>
      </x:c>
      <x:c r="E29" s="56" t="str">
        <x:f t="shared" si="1"/>
        <x:v>Correct</x:v>
      </x:c>
      <x:c r="F29" s="50">
        <x:v>18.0</x:v>
      </x:c>
      <x:c r="G29" s="51" t="s">
        <x:v>179</x:v>
      </x:c>
      <x:c r="H29" s="29" t="str">
        <x:f t="array" ref="H29">IF($G29="","",TEXTJOIN("",TRUE,MID($B29,MID($G29,SEQUENCE(LEN($G29),1),1)+0,1)))</x:f>
        <x:v>Error: #VALUE!</x:v>
      </x:c>
      <x:c r="I29" s="5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 ht="14.25" customHeight="1">
      <x:c r="A30" s="47">
        <x:v>21.0</x:v>
      </x:c>
      <x:c r="B30" s="47" t="s">
        <x:v>149</x:v>
      </x:c>
      <x:c r="C30" s="48" t="str">
        <x:f t="array" ref="C30">IFS(D30="","", D30="A","NW", D30="B","NE", D30="C","SW", D30="D","SE",D30="Omit", "")</x:f>
        <x:v>NW</x:v>
      </x:c>
      <x:c r="D30" s="6" t="s">
        <x:v>161</x:v>
      </x:c>
      <x:c r="E30" s="56" t="str">
        <x:f t="shared" si="1"/>
        <x:v>Correct</x:v>
      </x:c>
      <x:c r="F30" s="50">
        <x:v>85.0</x:v>
      </x:c>
      <x:c r="G30" s="51" t="s">
        <x:v>180</x:v>
      </x:c>
      <x:c r="H30" s="29" t="str">
        <x:f t="array" ref="H30">IF($G30="","",TEXTJOIN("",TRUE,MID($B30,MID($G30,SEQUENCE(LEN($G30),1),1)+0,1)))</x:f>
        <x:v>Error: #VALUE!</x:v>
      </x:c>
      <x:c r="I30" s="5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 ht="14.25" customHeight="1">
      <x:c r="A31" s="47">
        <x:v>22.0</x:v>
      </x:c>
      <x:c r="B31" s="47" t="s">
        <x:v>152</x:v>
      </x:c>
      <x:c r="C31" s="48" t="str">
        <x:f t="array" ref="C31">IFS(D31="","", D31="A","SE", D31="B","NW", D31="C","NE", D31="D","SW",D31="Omit", "")</x:f>
        <x:v>SE</x:v>
      </x:c>
      <x:c r="D31" s="6" t="s">
        <x:v>161</x:v>
      </x:c>
      <x:c r="E31" s="56" t="str">
        <x:f t="shared" si="1"/>
        <x:v>Correct</x:v>
      </x:c>
      <x:c r="F31" s="50">
        <x:v>31.0</x:v>
      </x:c>
      <x:c r="G31" s="51" t="s">
        <x:v>181</x:v>
      </x:c>
      <x:c r="H31" s="29" t="str">
        <x:f t="array" ref="H31">IF($G31="","",TEXTJOIN("",TRUE,MID($B31,MID($G31,SEQUENCE(LEN($G31),1),1)+0,1)))</x:f>
        <x:v>Error: #VALUE!</x:v>
      </x:c>
      <x:c r="I31" s="5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 ht="14.25" customHeight="1">
      <x:c r="A32" s="47">
        <x:v>23.0</x:v>
      </x:c>
      <x:c r="B32" s="47" t="s">
        <x:v>155</x:v>
      </x:c>
      <x:c r="C32" s="48" t="str">
        <x:f t="array" ref="C32">IFS(D32="","", D32="A","SW", D32="B","SE", D32="C","NW", D32="D","NE",D32="Omit", "")</x:f>
        <x:v>SE</x:v>
      </x:c>
      <x:c r="D32" s="6" t="s">
        <x:v>153</x:v>
      </x:c>
      <x:c r="E32" s="49" t="str">
        <x:f t="shared" si="1"/>
        <x:v>Incorrect</x:v>
      </x:c>
      <x:c r="F32" s="50">
        <x:v>27.0</x:v>
      </x:c>
      <x:c r="G32" s="51" t="s">
        <x:v>182</x:v>
      </x:c>
      <x:c r="H32" s="29" t="str">
        <x:f t="array" ref="H32">IF($G32="","",TEXTJOIN("",TRUE,MID($B32,MID($G32,SEQUENCE(LEN($G32),1),1)+0,1)))</x:f>
        <x:v>Error: #VALUE!</x:v>
      </x:c>
      <x:c r="I32" s="5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 ht="14.25" customHeight="1">
      <x:c r="A33" s="47">
        <x:v>24.0</x:v>
      </x:c>
      <x:c r="B33" s="47" t="s">
        <x:v>158</x:v>
      </x:c>
      <x:c r="C33" s="48" t="str">
        <x:f t="array" ref="C33">IFS(D33="","", D33="A","NE", D33="B","SW", D33="C","SE", D33="D","NW",D33="Omit", "")</x:f>
        <x:v>NE</x:v>
      </x:c>
      <x:c r="D33" s="6" t="s">
        <x:v>161</x:v>
      </x:c>
      <x:c r="E33" s="56" t="str">
        <x:f t="shared" si="1"/>
        <x:v>Correct</x:v>
      </x:c>
      <x:c r="F33" s="50">
        <x:v>14.0</x:v>
      </x:c>
      <x:c r="G33" s="51" t="s">
        <x:v>183</x:v>
      </x:c>
      <x:c r="H33" s="29" t="str">
        <x:f t="array" ref="H33">IF($G33="","",TEXTJOIN("",TRUE,MID($B33,MID($G33,SEQUENCE(LEN($G33),1),1)+0,1)))</x:f>
        <x:v>A</x:v>
      </x:c>
      <x:c r="I33" s="5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 ht="14.25" customHeight="1">
      <x:c r="A34" s="47">
        <x:v>25.0</x:v>
      </x:c>
      <x:c r="B34" s="47" t="s">
        <x:v>149</x:v>
      </x:c>
      <x:c r="C34" s="48" t="str">
        <x:f t="array" ref="C34">IFS(D34="","", D34="A","NW", D34="B","NE", D34="C","SW", D34="D","SE",D34="Omit", "")</x:f>
        <x:v>SE</x:v>
      </x:c>
      <x:c r="D34" s="6" t="s">
        <x:v>159</x:v>
      </x:c>
      <x:c r="E34" s="49" t="str">
        <x:f t="shared" si="1"/>
        <x:v>Incorrect</x:v>
      </x:c>
      <x:c r="F34" s="50">
        <x:v>16.0</x:v>
      </x:c>
      <x:c r="G34" s="51" t="s">
        <x:v>184</x:v>
      </x:c>
      <x:c r="H34" s="29" t="str">
        <x:f t="array" ref="H34">IF($G34="","",TEXTJOIN("",TRUE,MID($B34,MID($G34,SEQUENCE(LEN($G34),1),1)+0,1)))</x:f>
        <x:v>Error: #VALUE!</x:v>
      </x:c>
      <x:c r="I34" s="5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 ht="14.25" customHeight="1">
      <x:c r="A35" s="47">
        <x:v>26.0</x:v>
      </x:c>
      <x:c r="B35" s="47" t="s">
        <x:v>152</x:v>
      </x:c>
      <x:c r="C35" s="48" t="str">
        <x:f t="array" ref="C35">IFS(D35="","", D35="A","SE", D35="B","NW", D35="C","NE", D35="D","SW",D35="Omit", "")</x:f>
        <x:v>SE</x:v>
      </x:c>
      <x:c r="D35" s="6" t="s">
        <x:v>161</x:v>
      </x:c>
      <x:c r="E35" s="56" t="str">
        <x:f t="shared" si="1"/>
        <x:v>Correct</x:v>
      </x:c>
      <x:c r="F35" s="50">
        <x:v>160.0</x:v>
      </x:c>
      <x:c r="G35" s="51" t="s">
        <x:v>185</x:v>
      </x:c>
      <x:c r="H35" s="29" t="str">
        <x:f t="array" ref="H35">IF($G35="","",TEXTJOIN("",TRUE,MID($B35,MID($G35,SEQUENCE(LEN($G35),1),1)+0,1)))</x:f>
        <x:v>Error: #VALUE!</x:v>
      </x:c>
      <x:c r="I35" s="5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 ht="14.25" customHeight="1">
      <x:c r="A36" s="47">
        <x:v>27.0</x:v>
      </x:c>
      <x:c r="B36" s="47" t="s">
        <x:v>155</x:v>
      </x:c>
      <x:c r="C36" s="48" t="str">
        <x:f t="array" ref="C36">IFS(D36="","", D36="A","SW", D36="B","SE", D36="C","NW", D36="D","NE",D36="Omit", "")</x:f>
        <x:v>NE</x:v>
      </x:c>
      <x:c r="D36" s="6" t="s">
        <x:v>159</x:v>
      </x:c>
      <x:c r="E36" s="49" t="str">
        <x:f t="shared" si="1"/>
        <x:v>Incorrect</x:v>
      </x:c>
      <x:c r="F36" s="50">
        <x:v>36.0</x:v>
      </x:c>
      <x:c r="G36" s="51" t="s">
        <x:v>186</x:v>
      </x:c>
      <x:c r="H36" s="29" t="str">
        <x:f t="array" ref="H36">IF($G36="","",TEXTJOIN("",TRUE,MID($B36,MID($G36,SEQUENCE(LEN($G36),1),1)+0,1)))</x:f>
        <x:v>Error: #VALUE!</x:v>
      </x:c>
      <x:c r="I36" s="5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 ht="14.25" customHeight="1">
      <x:c r="A37" s="47">
        <x:v>28.0</x:v>
      </x:c>
      <x:c r="B37" s="47" t="s">
        <x:v>158</x:v>
      </x:c>
      <x:c r="C37" s="48" t="str">
        <x:f t="array" ref="C37">IFS(D37="","", D37="A","NE", D37="B","SW", D37="C","SE", D37="D","NW",D37="Omit", "")</x:f>
        <x:v>NE</x:v>
      </x:c>
      <x:c r="D37" s="6" t="s">
        <x:v>161</x:v>
      </x:c>
      <x:c r="E37" s="56" t="str">
        <x:f t="shared" si="1"/>
        <x:v>Correct</x:v>
      </x:c>
      <x:c r="F37" s="50">
        <x:v>12.0</x:v>
      </x:c>
      <x:c r="G37" s="51" t="s">
        <x:v>187</x:v>
      </x:c>
      <x:c r="H37" s="29" t="str">
        <x:f t="array" ref="H37">IF($G37="","",TEXTJOIN("",TRUE,MID($B37,MID($G37,SEQUENCE(LEN($G37),1),1)+0,1)))</x:f>
        <x:v>Error: #VALUE!</x:v>
      </x:c>
      <x:c r="I37" s="5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 ht="14.25" customHeight="1">
      <x:c r="A38" s="47">
        <x:v>29.0</x:v>
      </x:c>
      <x:c r="B38" s="47" t="s">
        <x:v>149</x:v>
      </x:c>
      <x:c r="C38" s="48" t="str">
        <x:f t="array" ref="C38">IFS(D38="","", D38="A","NW", D38="B","NE", D38="C","SW", D38="D","SE",D38="Omit", "")</x:f>
      </x:c>
      <x:c r="D38" s="6" t="s">
        <x:v>150</x:v>
      </x:c>
      <x:c r="E38" s="49" t="str">
        <x:f t="shared" si="1"/>
        <x:v>Incorrect</x:v>
      </x:c>
      <x:c r="F38" s="50">
        <x:v>180.0</x:v>
      </x:c>
      <x:c r="G38" s="51" t="s">
        <x:v>188</x:v>
      </x:c>
      <x:c r="H38" s="29" t="str">
        <x:f t="array" ref="H38">IF($G38="","",TEXTJOIN("",TRUE,MID($B38,MID($G38,SEQUENCE(LEN($G38),1),1)+0,1)))</x:f>
        <x:v>Error: #VALUE!</x:v>
      </x:c>
      <x:c r="I38" s="5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 ht="14.25" customHeight="1">
      <x:c r="A39" s="47">
        <x:v>30.0</x:v>
      </x:c>
      <x:c r="B39" s="47" t="s">
        <x:v>152</x:v>
      </x:c>
      <x:c r="C39" s="48" t="str">
        <x:f t="array" ref="C39">IFS(D39="","", D39="A","SE", D39="B","NW", D39="C","NE", D39="D","SW",D39="Omit", "")</x:f>
        <x:v>NW</x:v>
      </x:c>
      <x:c r="D39" s="6" t="s">
        <x:v>153</x:v>
      </x:c>
      <x:c r="E39" s="49" t="str">
        <x:f t="shared" si="1"/>
        <x:v>Incorrect</x:v>
      </x:c>
      <x:c r="F39" s="64">
        <x:v>14.0</x:v>
      </x:c>
      <x:c r="G39" s="51" t="s">
        <x:v>189</x:v>
      </x:c>
      <x:c r="H39" s="29" t="str">
        <x:f t="array" ref="H39">IF($G39="","",TEXTJOIN("",TRUE,MID($B39,MID($G39,SEQUENCE(LEN($G39),1),1)+0,1)))</x:f>
        <x:v>Error: #VALUE!</x:v>
      </x:c>
      <x:c r="I39" s="5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 ht="14.25" customHeight="1">
      <x:c r="A40" s="47">
        <x:v>31.0</x:v>
      </x:c>
      <x:c r="B40" s="47" t="s">
        <x:v>155</x:v>
      </x:c>
      <x:c r="C40" s="48" t="str">
        <x:f t="array" ref="C40">IFS(D40="","", D40="A","NW", D40="B","NE", D40="C","SW", D40="D","SE",D40="Omit", "")</x:f>
        <x:v>NW</x:v>
      </x:c>
      <x:c r="D40" s="6" t="s">
        <x:v>161</x:v>
      </x:c>
      <x:c r="E40" s="56" t="str">
        <x:f t="shared" si="1"/>
        <x:v>Correct</x:v>
      </x:c>
      <x:c r="F40" s="65">
        <x:v>14.0</x:v>
      </x:c>
      <x:c r="G40" s="51" t="s">
        <x:v>190</x:v>
      </x:c>
      <x:c r="H40" s="29" t="str">
        <x:f t="array" ref="H40">IF($G40="","",TEXTJOIN("",TRUE,MID($B40,MID($G40,SEQUENCE(LEN($G40),1),1)+0,1)))</x:f>
        <x:v>Error: #VALUE!</x:v>
      </x:c>
      <x:c r="I40" s="5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 ht="14.25" customHeight="1">
      <x:c r="A41" s="47">
        <x:v>32.0</x:v>
      </x:c>
      <x:c r="B41" s="47" t="s">
        <x:v>158</x:v>
      </x:c>
      <x:c r="C41" s="48" t="str">
        <x:f t="array" ref="C41">IFS(D41="","", D41="A","SE", D41="B","NW", D41="C","NE", D41="D","SW",D41="Omit", "")</x:f>
        <x:v>SE</x:v>
      </x:c>
      <x:c r="D41" s="6" t="s">
        <x:v>161</x:v>
      </x:c>
      <x:c r="E41" s="56" t="str">
        <x:f t="shared" si="1"/>
        <x:v>Correct</x:v>
      </x:c>
      <x:c r="F41" s="65">
        <x:v>100.0</x:v>
      </x:c>
      <x:c r="G41" s="51" t="s">
        <x:v>191</x:v>
      </x:c>
      <x:c r="H41" s="29" t="str">
        <x:f t="array" ref="H41">IF($G41="","",TEXTJOIN("",TRUE,MID($B41,MID($G41,SEQUENCE(LEN($G41),1),1)+0,1)))</x:f>
        <x:v>Error: #VALUE!</x:v>
      </x:c>
      <x:c r="I41" s="5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 ht="14.25" customHeight="1">
      <x:c r="A42" s="47">
        <x:v>33.0</x:v>
      </x:c>
      <x:c r="B42" s="47" t="s">
        <x:v>149</x:v>
      </x:c>
      <x:c r="C42" s="48" t="str">
        <x:f t="array" ref="C42">IFS(D42="","", D42="A","SW", D42="B","SE", D42="C","NW", D42="D","NE",D42="Omit", "")</x:f>
        <x:v>SW</x:v>
      </x:c>
      <x:c r="D42" s="6" t="s">
        <x:v>161</x:v>
      </x:c>
      <x:c r="E42" s="56" t="str">
        <x:f t="shared" si="1"/>
        <x:v>Correct</x:v>
      </x:c>
      <x:c r="F42" s="65">
        <x:v>62.0</x:v>
      </x:c>
      <x:c r="G42" s="51" t="s">
        <x:v>192</x:v>
      </x:c>
      <x:c r="H42" s="29" t="str">
        <x:f t="array" ref="H42">IF($G42="","",TEXTJOIN("",TRUE,MID($B42,MID($G42,SEQUENCE(LEN($G42),1),1)+0,1)))</x:f>
        <x:v>Error: #VALUE!</x:v>
      </x:c>
      <x:c r="I42" s="5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 ht="14.25" customHeight="1">
      <x:c r="A43" s="47">
        <x:v>34.0</x:v>
      </x:c>
      <x:c r="B43" s="47" t="s">
        <x:v>152</x:v>
      </x:c>
      <x:c r="C43" s="48" t="str">
        <x:f t="array" ref="C43">IFS(D43="","", D43="A","NE", D43="B","SW", D43="C","SE", D43="D","NW",D43="Omit", "")</x:f>
        <x:v>SW</x:v>
      </x:c>
      <x:c r="D43" s="6" t="s">
        <x:v>153</x:v>
      </x:c>
      <x:c r="E43" s="49" t="str">
        <x:f t="shared" si="1"/>
        <x:v>Incorrect</x:v>
      </x:c>
      <x:c r="F43" s="65">
        <x:v>12.0</x:v>
      </x:c>
      <x:c r="G43" s="51" t="s">
        <x:v>193</x:v>
      </x:c>
      <x:c r="H43" s="29" t="str">
        <x:f t="array" ref="H43">IF($G43="","",TEXTJOIN("",TRUE,MID($B43,MID($G43,SEQUENCE(LEN($G43),1),1)+0,1)))</x:f>
        <x:v>Error: #VALUE!</x:v>
      </x:c>
      <x:c r="I43" s="5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 ht="14.25" customHeight="1">
      <x:c r="A44" s="47">
        <x:v>35.0</x:v>
      </x:c>
      <x:c r="B44" s="47" t="s">
        <x:v>155</x:v>
      </x:c>
      <x:c r="C44" s="48" t="str">
        <x:f t="array" ref="C44">IFS(D44="","", D44="A","NW", D44="B","NE", D44="C","SW", D44="D","SE",D44="Omit", "")</x:f>
        <x:v>NW</x:v>
      </x:c>
      <x:c r="D44" s="6" t="s">
        <x:v>161</x:v>
      </x:c>
      <x:c r="E44" s="56" t="str">
        <x:f t="shared" si="1"/>
        <x:v>Correct</x:v>
      </x:c>
      <x:c r="F44" s="65">
        <x:v>45.0</x:v>
      </x:c>
      <x:c r="G44" s="51" t="s">
        <x:v>194</x:v>
      </x:c>
      <x:c r="H44" s="29" t="str">
        <x:f t="array" ref="H44">IF($G44="","",TEXTJOIN("",TRUE,MID($B44,MID($G44,SEQUENCE(LEN($G44),1),1)+0,1)))</x:f>
        <x:v>Error: #VALUE!</x:v>
      </x:c>
      <x:c r="I44" s="5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 ht="14.25" customHeight="1">
      <x:c r="A45" s="47">
        <x:v>36.0</x:v>
      </x:c>
      <x:c r="B45" s="47" t="s">
        <x:v>158</x:v>
      </x:c>
      <x:c r="C45" s="48" t="str">
        <x:f t="array" ref="C45">IFS(D45="","", D45="A","SE", D45="B","NW", D45="C","NE", D45="D","SW",D45="Omit", "")</x:f>
        <x:v>SE</x:v>
      </x:c>
      <x:c r="D45" s="6" t="s">
        <x:v>161</x:v>
      </x:c>
      <x:c r="E45" s="56" t="str">
        <x:f t="shared" si="1"/>
        <x:v>Correct</x:v>
      </x:c>
      <x:c r="F45" s="65">
        <x:v>13.0</x:v>
      </x:c>
      <x:c r="G45" s="51" t="s">
        <x:v>193</x:v>
      </x:c>
      <x:c r="H45" s="29" t="str">
        <x:f t="array" ref="H45">IF($G45="","",TEXTJOIN("",TRUE,MID($B45,MID($G45,SEQUENCE(LEN($G45),1),1)+0,1)))</x:f>
        <x:v>Error: #VALUE!</x:v>
      </x:c>
      <x:c r="I45" s="5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 ht="14.25" customHeight="1">
      <x:c r="A46" s="47">
        <x:v>37.0</x:v>
      </x:c>
      <x:c r="B46" s="47" t="s">
        <x:v>149</x:v>
      </x:c>
      <x:c r="C46" s="48" t="str">
        <x:f t="array" ref="C46">IFS(D46="","", D46="A","SW", D46="B","SE", D46="C","NW", D46="D","NE",D46="Omit", "")</x:f>
        <x:v>SW</x:v>
      </x:c>
      <x:c r="D46" s="6" t="s">
        <x:v>161</x:v>
      </x:c>
      <x:c r="E46" s="56" t="str">
        <x:f t="shared" si="1"/>
        <x:v>Correct</x:v>
      </x:c>
      <x:c r="F46" s="65">
        <x:v>17.0</x:v>
      </x:c>
      <x:c r="G46" s="51" t="s">
        <x:v>195</x:v>
      </x:c>
      <x:c r="H46" s="29" t="str">
        <x:f t="array" ref="H46">IF($G46="","",TEXTJOIN("",TRUE,MID($B46,MID($G46,SEQUENCE(LEN($G46),1),1)+0,1)))</x:f>
        <x:v>Error: #VALUE!</x:v>
      </x:c>
      <x:c r="I46" s="5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 ht="14.25" customHeight="1">
      <x:c r="A47" s="47">
        <x:v>38.0</x:v>
      </x:c>
      <x:c r="B47" s="47" t="s">
        <x:v>152</x:v>
      </x:c>
      <x:c r="C47" s="48" t="str">
        <x:f t="array" ref="C47">IFS(D47="","", D47="A","NE", D47="B","SW", D47="C","SE", D47="D","NW",D47="Omit", "")</x:f>
        <x:v>NE</x:v>
      </x:c>
      <x:c r="D47" s="6" t="s">
        <x:v>161</x:v>
      </x:c>
      <x:c r="E47" s="56" t="str">
        <x:f t="shared" si="1"/>
        <x:v>Correct</x:v>
      </x:c>
      <x:c r="F47" s="65">
        <x:v>143.0</x:v>
      </x:c>
      <x:c r="G47" s="51" t="s">
        <x:v>196</x:v>
      </x:c>
      <x:c r="H47" s="29" t="str">
        <x:f t="array" ref="H47">IF($G47="","",TEXTJOIN("",TRUE,MID($B47,MID($G47,SEQUENCE(LEN($G47),1),1)+0,1)))</x:f>
        <x:v>Error: #VALUE!</x:v>
      </x:c>
      <x:c r="I47" s="5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 ht="14.25" customHeight="1">
      <x:c r="A48" s="47">
        <x:v>39.0</x:v>
      </x:c>
      <x:c r="B48" s="47" t="s">
        <x:v>155</x:v>
      </x:c>
      <x:c r="C48" s="48" t="str">
        <x:f t="array" ref="C48">IFS(D48="","", D48="A","NW", D48="B","NE", D48="C","SW", D48="D","SE",D48="Omit", "")</x:f>
      </x:c>
      <x:c r="D48" s="60"/>
      <x:c r="E48" s="61" t="str">
        <x:f t="shared" si="1"/>
      </x:c>
      <x:c r="F48" s="67"/>
      <x:c r="G48" s="55"/>
      <x:c r="H48" s="61" t="str">
        <x:f t="array" ref="H48">IF($G48="","",TEXTJOIN("",TRUE,MID($B48,MID($G48,SEQUENCE(LEN($G48),1),1)+0,1)))</x:f>
      </x:c>
      <x:c r="I48" s="55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 ht="14.25" customHeight="1">
      <x:c r="A49" s="47">
        <x:v>40.0</x:v>
      </x:c>
      <x:c r="B49" s="47" t="s">
        <x:v>158</x:v>
      </x:c>
      <x:c r="C49" s="48" t="str">
        <x:f t="array" ref="C49">IFS(D49="","", D49="A","SE", D49="B","NW", D49="C","NE", D49="D","SW",D49="Omit", "")</x:f>
      </x:c>
      <x:c r="D49" s="60"/>
      <x:c r="E49" s="61" t="str">
        <x:f t="shared" si="1"/>
      </x:c>
      <x:c r="F49" s="67"/>
      <x:c r="G49" s="55"/>
      <x:c r="H49" s="61" t="str">
        <x:f t="array" ref="H49">IF($G49="","",TEXTJOIN("",TRUE,MID($B49,MID($G49,SEQUENCE(LEN($G49),1),1)+0,1)))</x:f>
      </x:c>
      <x:c r="I49" s="55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 ht="14.25" customHeight="1">
      <x:c r="A50" s="47">
        <x:v>41.0</x:v>
      </x:c>
      <x:c r="B50" s="47" t="s">
        <x:v>149</x:v>
      </x:c>
      <x:c r="C50" s="48" t="str">
        <x:f t="array" ref="C50">IFS(D50="","", D50="A","SW", D50="B","SE", D50="C","NW", D50="D","NE",D50="Omit", "")</x:f>
      </x:c>
      <x:c r="D50" s="60"/>
      <x:c r="E50" s="61" t="str">
        <x:f t="shared" si="1"/>
      </x:c>
      <x:c r="F50" s="67"/>
      <x:c r="G50" s="55"/>
      <x:c r="H50" s="61" t="str">
        <x:f t="array" ref="H50">IF($G50="","",TEXTJOIN("",TRUE,MID($B50,MID($G50,SEQUENCE(LEN($G50),1),1)+0,1)))</x:f>
      </x:c>
      <x:c r="I50" s="55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 ht="14.25" customHeight="1">
      <x:c r="A51" s="47">
        <x:v>42.0</x:v>
      </x:c>
      <x:c r="B51" s="47" t="s">
        <x:v>152</x:v>
      </x:c>
      <x:c r="C51" s="48" t="str">
        <x:f t="array" ref="C51">IFS(D51="","", D51="A","NE", D51="B","SW", D51="C","SE", D51="D","NW",D51="Omit", "")</x:f>
      </x:c>
      <x:c r="D51" s="60"/>
      <x:c r="E51" s="61" t="str">
        <x:f t="shared" si="1"/>
      </x:c>
      <x:c r="F51" s="67"/>
      <x:c r="G51" s="55"/>
      <x:c r="H51" s="61" t="str">
        <x:f t="array" ref="H51">IF($G51="","",TEXTJOIN("",TRUE,MID($B51,MID($G51,SEQUENCE(LEN($G51),1),1)+0,1)))</x:f>
      </x:c>
      <x:c r="I51" s="55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 ht="14.25" customHeight="1">
      <x:c r="A52" s="47">
        <x:v>43.0</x:v>
      </x:c>
      <x:c r="B52" s="47" t="s">
        <x:v>155</x:v>
      </x:c>
      <x:c r="C52" s="48" t="str">
        <x:f t="array" ref="C52">IFS(D52="","", D52="A","NW", D52="B","NE", D52="C","SW", D52="D","SE",D52="Omit", "")</x:f>
      </x:c>
      <x:c r="D52" s="60"/>
      <x:c r="E52" s="61" t="str">
        <x:f t="shared" si="1"/>
      </x:c>
      <x:c r="F52" s="67"/>
      <x:c r="G52" s="55"/>
      <x:c r="H52" s="61" t="str">
        <x:f t="array" ref="H52">IF($G52="","",TEXTJOIN("",TRUE,MID($B52,MID($G52,SEQUENCE(LEN($G52),1),1)+0,1)))</x:f>
      </x:c>
      <x:c r="I52" s="55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 ht="14.25" customHeight="1">
      <x:c r="A53" s="47">
        <x:v>44.0</x:v>
      </x:c>
      <x:c r="B53" s="47" t="s">
        <x:v>158</x:v>
      </x:c>
      <x:c r="C53" s="48" t="str">
        <x:f t="array" ref="C53">IFS(D53="","", D53="A","SE", D53="B","NW", D53="C","NE", D53="D","SW",D53="Omit", "")</x:f>
      </x:c>
      <x:c r="D53" s="60"/>
      <x:c r="E53" s="61" t="str">
        <x:f t="shared" si="1"/>
      </x:c>
      <x:c r="F53" s="67"/>
      <x:c r="G53" s="55"/>
      <x:c r="H53" s="61" t="str">
        <x:f t="array" ref="H53">IF($G53="","",TEXTJOIN("",TRUE,MID($B53,MID($G53,SEQUENCE(LEN($G53),1),1)+0,1)))</x:f>
      </x:c>
      <x:c r="I53" s="55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 ht="14.25" customHeight="1">
      <x:c r="A54" s="47">
        <x:v>45.0</x:v>
      </x:c>
      <x:c r="B54" s="47" t="s">
        <x:v>149</x:v>
      </x:c>
      <x:c r="C54" s="48" t="str">
        <x:f t="array" ref="C54">IFS(D54="","", D54="A","SW", D54="B","SE", D54="C","NW", D54="D","NE",D54="Omit", "")</x:f>
      </x:c>
      <x:c r="D54" s="60"/>
      <x:c r="E54" s="61" t="str">
        <x:f t="shared" si="1"/>
      </x:c>
      <x:c r="F54" s="67"/>
      <x:c r="G54" s="55"/>
      <x:c r="H54" s="61" t="str">
        <x:f t="array" ref="H54">IF($G54="","",TEXTJOIN("",TRUE,MID($B54,MID($G54,SEQUENCE(LEN($G54),1),1)+0,1)))</x:f>
      </x:c>
      <x:c r="I54" s="55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 ht="14.25" customHeight="1">
      <x:c r="A55" s="47">
        <x:v>46.0</x:v>
      </x:c>
      <x:c r="B55" s="47" t="s">
        <x:v>152</x:v>
      </x:c>
      <x:c r="C55" s="48" t="str">
        <x:f t="array" ref="C55">IFS(D55="","", D55="A","NE", D55="B","SW", D55="C","SE", D55="D","NW",D55="Omit", "")</x:f>
      </x:c>
      <x:c r="D55" s="60"/>
      <x:c r="E55" s="61" t="str">
        <x:f t="shared" si="1"/>
      </x:c>
      <x:c r="F55" s="67"/>
      <x:c r="G55" s="55"/>
      <x:c r="H55" s="61" t="str">
        <x:f t="array" ref="H55">IF($G55="","",TEXTJOIN("",TRUE,MID($B55,MID($G55,SEQUENCE(LEN($G55),1),1)+0,1)))</x:f>
      </x:c>
      <x:c r="I55" s="55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 ht="14.25" customHeight="1">
      <x:c r="A56" s="47">
        <x:v>47.0</x:v>
      </x:c>
      <x:c r="B56" s="47" t="s">
        <x:v>155</x:v>
      </x:c>
      <x:c r="C56" s="48" t="str">
        <x:f t="array" ref="C56">IFS(D56="","", D56="A","NW", D56="B","NE", D56="C","SW", D56="D","SE",D56="Omit", "")</x:f>
      </x:c>
      <x:c r="D56" s="60"/>
      <x:c r="E56" s="61" t="str">
        <x:f t="shared" si="1"/>
      </x:c>
      <x:c r="F56" s="67"/>
      <x:c r="G56" s="55"/>
      <x:c r="H56" s="61" t="str">
        <x:f t="array" ref="H56">IF($G56="","",TEXTJOIN("",TRUE,MID($B56,MID($G56,SEQUENCE(LEN($G56),1),1)+0,1)))</x:f>
      </x:c>
      <x:c r="I56" s="55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 ht="14.25" customHeight="1">
      <x:c r="A57" s="47">
        <x:v>48.0</x:v>
      </x:c>
      <x:c r="B57" s="47" t="s">
        <x:v>158</x:v>
      </x:c>
      <x:c r="C57" s="48" t="str">
        <x:f t="array" ref="C57">IFS(D57="","", D57="A","SE", D57="B","NW", D57="C","NE", D57="D","SW",D57="Omit", "")</x:f>
      </x:c>
      <x:c r="D57" s="60"/>
      <x:c r="E57" s="61" t="str">
        <x:f t="shared" si="1"/>
      </x:c>
      <x:c r="F57" s="67"/>
      <x:c r="G57" s="55"/>
      <x:c r="H57" s="61" t="str">
        <x:f t="array" ref="H57">IF($G57="","",TEXTJOIN("",TRUE,MID($B57,MID($G57,SEQUENCE(LEN($G57),1),1)+0,1)))</x:f>
      </x:c>
      <x:c r="I57" s="55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 ht="14.25" customHeight="1">
      <x:c r="A58" s="47">
        <x:v>49.0</x:v>
      </x:c>
      <x:c r="B58" s="47" t="s">
        <x:v>149</x:v>
      </x:c>
      <x:c r="C58" s="48" t="str">
        <x:f t="array" ref="C58">IFS(D58="","", D58="A","SW", D58="B","SE", D58="C","NW", D58="D","NE",D58="Omit", "")</x:f>
      </x:c>
      <x:c r="D58" s="60"/>
      <x:c r="E58" s="61" t="str">
        <x:f t="shared" si="1"/>
      </x:c>
      <x:c r="F58" s="67"/>
      <x:c r="G58" s="55"/>
      <x:c r="H58" s="61" t="str">
        <x:f t="array" ref="H58">IF($G58="","",TEXTJOIN("",TRUE,MID($B58,MID($G58,SEQUENCE(LEN($G58),1),1)+0,1)))</x:f>
      </x:c>
      <x:c r="I58" s="55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 ht="14.25" customHeight="1">
      <x:c r="A59" s="47">
        <x:v>50.0</x:v>
      </x:c>
      <x:c r="B59" s="47" t="s">
        <x:v>152</x:v>
      </x:c>
      <x:c r="C59" s="48" t="str">
        <x:f t="array" ref="C59">IFS(D59="","", D59="A","NE", D59="B","SW", D59="C","SE", D59="D","NW",D59="Omit", "")</x:f>
      </x:c>
      <x:c r="D59" s="60"/>
      <x:c r="E59" s="61" t="str">
        <x:f t="shared" si="1"/>
      </x:c>
      <x:c r="F59" s="67"/>
      <x:c r="G59" s="55"/>
      <x:c r="H59" s="61" t="str">
        <x:f t="array" ref="H59">IF($G59="","",TEXTJOIN("",TRUE,MID($B59,MID($G59,SEQUENCE(LEN($G59),1),1)+0,1)))</x:f>
      </x:c>
      <x:c r="I59" s="55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 ht="14.25" customHeight="1">
      <x:c r="A60" s="47">
        <x:v>51.0</x:v>
      </x:c>
      <x:c r="B60" s="47" t="s">
        <x:v>155</x:v>
      </x:c>
      <x:c r="C60" s="48" t="str">
        <x:f t="array" ref="C60">IFS(D60="","", D60="A","NW", D60="B","NE", D60="C","SW", D60="D","SE",D60="Omit", "")</x:f>
      </x:c>
      <x:c r="D60" s="60"/>
      <x:c r="E60" s="61" t="str">
        <x:f t="shared" si="1"/>
      </x:c>
      <x:c r="F60" s="67"/>
      <x:c r="G60" s="55"/>
      <x:c r="H60" s="61" t="str">
        <x:f t="array" ref="H60">IF($G60="","",TEXTJOIN("",TRUE,MID($B60,MID($G60,SEQUENCE(LEN($G60),1),1)+0,1)))</x:f>
      </x:c>
      <x:c r="I60" s="55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 ht="14.25" customHeight="1">
      <x:c r="A61" s="47">
        <x:v>52.0</x:v>
      </x:c>
      <x:c r="B61" s="47" t="s">
        <x:v>158</x:v>
      </x:c>
      <x:c r="C61" s="48" t="str">
        <x:f t="array" ref="C61">IFS(D61="","", D61="A","SE", D61="B","NW", D61="C","NE", D61="D","SW",D61="Omit", "")</x:f>
      </x:c>
      <x:c r="D61" s="60"/>
      <x:c r="E61" s="61" t="str">
        <x:f t="shared" si="1"/>
      </x:c>
      <x:c r="F61" s="67"/>
      <x:c r="G61" s="55"/>
      <x:c r="H61" s="61" t="str">
        <x:f t="array" ref="H61">IF($G61="","",TEXTJOIN("",TRUE,MID($B61,MID($G61,SEQUENCE(LEN($G61),1),1)+0,1)))</x:f>
      </x:c>
      <x:c r="I61" s="55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 ht="14.25" customHeight="1">
      <x:c r="A62" s="47">
        <x:v>53.0</x:v>
      </x:c>
      <x:c r="B62" s="47" t="s">
        <x:v>149</x:v>
      </x:c>
      <x:c r="C62" s="48" t="str">
        <x:f t="array" ref="C62">IFS(D62="","", D62="A","SW", D62="B","SE", D62="C","NW", D62="D","NE",D62="Omit", "")</x:f>
      </x:c>
      <x:c r="D62" s="60"/>
      <x:c r="E62" s="61" t="str">
        <x:f t="shared" si="1"/>
      </x:c>
      <x:c r="F62" s="67"/>
      <x:c r="G62" s="55"/>
      <x:c r="H62" s="61" t="str">
        <x:f t="array" ref="H62">IF($G62="","",TEXTJOIN("",TRUE,MID($B62,MID($G62,SEQUENCE(LEN($G62),1),1)+0,1)))</x:f>
      </x:c>
      <x:c r="I62" s="55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 ht="14.25" customHeight="1">
      <x:c r="A63" s="47">
        <x:v>54.0</x:v>
      </x:c>
      <x:c r="B63" s="47" t="s">
        <x:v>152</x:v>
      </x:c>
      <x:c r="C63" s="48" t="str">
        <x:f t="array" ref="C63">IFS(D63="","", D63="A","NE", D63="B","SW", D63="C","SE", D63="D","NW",D63="Omit", "")</x:f>
      </x:c>
      <x:c r="D63" s="60"/>
      <x:c r="E63" s="61" t="str">
        <x:f t="shared" si="1"/>
      </x:c>
      <x:c r="F63" s="67"/>
      <x:c r="G63" s="55"/>
      <x:c r="H63" s="61" t="str">
        <x:f t="array" ref="H63">IF($G63="","",TEXTJOIN("",TRUE,MID($B63,MID($G63,SEQUENCE(LEN($G63),1),1)+0,1)))</x:f>
      </x:c>
      <x:c r="I63" s="55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 ht="14.25" customHeight="1">
      <x:c r="A64" s="47">
        <x:v>55.0</x:v>
      </x:c>
      <x:c r="B64" s="47" t="s">
        <x:v>155</x:v>
      </x:c>
      <x:c r="C64" s="48" t="str">
        <x:f t="array" ref="C64">IFS(D64="","", D64="A","NW", D64="B","NE", D64="C","SW", D64="D","SE",D64="Omit", "")</x:f>
      </x:c>
      <x:c r="D64" s="60"/>
      <x:c r="E64" s="61" t="str">
        <x:f t="shared" si="1"/>
      </x:c>
      <x:c r="F64" s="67"/>
      <x:c r="G64" s="55"/>
      <x:c r="H64" s="61" t="str">
        <x:f t="array" ref="H64">IF($G64="","",TEXTJOIN("",TRUE,MID($B64,MID($G64,SEQUENCE(LEN($G64),1),1)+0,1)))</x:f>
      </x:c>
      <x:c r="I64" s="55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 ht="14.25" customHeight="1">
      <x:c r="A65" s="47">
        <x:v>56.0</x:v>
      </x:c>
      <x:c r="B65" s="47" t="s">
        <x:v>158</x:v>
      </x:c>
      <x:c r="C65" s="48" t="str">
        <x:f t="array" ref="C65">IFS(D65="","", D65="A","SE", D65="B","NW", D65="C","NE", D65="D","SW",D65="Omit", "")</x:f>
      </x:c>
      <x:c r="D65" s="60"/>
      <x:c r="E65" s="61" t="str">
        <x:f t="shared" si="1"/>
      </x:c>
      <x:c r="F65" s="67"/>
      <x:c r="G65" s="55"/>
      <x:c r="H65" s="61" t="str">
        <x:f t="array" ref="H65">IF($G65="","",TEXTJOIN("",TRUE,MID($B65,MID($G65,SEQUENCE(LEN($G65),1),1)+0,1)))</x:f>
      </x:c>
      <x:c r="I65" s="55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 ht="14.25" customHeight="1">
      <x:c r="A66" s="47">
        <x:v>57.0</x:v>
      </x:c>
      <x:c r="B66" s="47" t="s">
        <x:v>149</x:v>
      </x:c>
      <x:c r="C66" s="48" t="str">
        <x:f t="array" ref="C66">IFS(D66="","", D66="A","SW", D66="B","SE", D66="C","NW", D66="D","NE",D66="Omit", "")</x:f>
      </x:c>
      <x:c r="D66" s="60"/>
      <x:c r="E66" s="61" t="str">
        <x:f t="shared" si="1"/>
      </x:c>
      <x:c r="F66" s="67"/>
      <x:c r="G66" s="55"/>
      <x:c r="H66" s="61" t="str">
        <x:f t="array" ref="H66">IF($G66="","",TEXTJOIN("",TRUE,MID($B66,MID($G66,SEQUENCE(LEN($G66),1),1)+0,1)))</x:f>
      </x:c>
      <x:c r="I66" s="55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 ht="14.25" customHeight="1">
      <x:c r="A67" s="47">
        <x:v>58.0</x:v>
      </x:c>
      <x:c r="B67" s="47" t="s">
        <x:v>152</x:v>
      </x:c>
      <x:c r="C67" s="48" t="str">
        <x:f t="array" ref="C67">IFS(D67="","", D67="A","NE", D67="B","SW", D67="C","SE", D67="D","NW",D67="Omit", "")</x:f>
      </x:c>
      <x:c r="D67" s="60"/>
      <x:c r="E67" s="61" t="str">
        <x:f t="shared" si="1"/>
      </x:c>
      <x:c r="F67" s="67"/>
      <x:c r="G67" s="55"/>
      <x:c r="H67" s="61" t="str">
        <x:f t="array" ref="H67">IF($G67="","",TEXTJOIN("",TRUE,MID($B67,MID($G67,SEQUENCE(LEN($G67),1),1)+0,1)))</x:f>
      </x:c>
      <x:c r="I67" s="55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 ht="14.25" customHeight="1">
      <x:c r="A68" s="47">
        <x:v>59.0</x:v>
      </x:c>
      <x:c r="B68" s="47" t="s">
        <x:v>155</x:v>
      </x:c>
      <x:c r="C68" s="48" t="str">
        <x:f t="array" ref="C68">IFS(D68="","", D68="A","NW", D68="B","NE", D68="C","SW", D68="D","SE",D68="Omit", "")</x:f>
      </x:c>
      <x:c r="D68" s="60"/>
      <x:c r="E68" s="61" t="str">
        <x:f t="shared" si="1"/>
      </x:c>
      <x:c r="F68" s="67"/>
      <x:c r="G68" s="55"/>
      <x:c r="H68" s="61" t="str">
        <x:f t="array" ref="H68">IF($G68="","",TEXTJOIN("",TRUE,MID($B68,MID($G68,SEQUENCE(LEN($G68),1),1)+0,1)))</x:f>
      </x:c>
      <x:c r="I68" s="55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 ht="14.25" customHeight="1">
      <x:c r="A69" s="47">
        <x:v>60.0</x:v>
      </x:c>
      <x:c r="B69" s="47" t="s">
        <x:v>158</x:v>
      </x:c>
      <x:c r="C69" s="48" t="str">
        <x:f t="array" ref="C69">IFS(D69="","", D69="A","SE", D69="B","NW", D69="C","NE", D69="D","SW",D69="Omit", "")</x:f>
      </x:c>
      <x:c r="D69" s="60"/>
      <x:c r="E69" s="61" t="str">
        <x:f t="shared" si="1"/>
      </x:c>
      <x:c r="F69" s="67"/>
      <x:c r="G69" s="55"/>
      <x:c r="H69" s="61" t="str">
        <x:f t="array" ref="H69">IF($G69="","",TEXTJOIN("",TRUE,MID($B69,MID($G69,SEQUENCE(LEN($G69),1),1)+0,1)))</x:f>
      </x:c>
      <x:c r="I69" s="55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ht="14.25" customHeight="1">
      <x:c r="A70" s="47">
        <x:v>61.0</x:v>
      </x:c>
      <x:c r="B70" s="47" t="s">
        <x:v>149</x:v>
      </x:c>
      <x:c r="C70" s="48" t="str">
        <x:f t="array" ref="C70">IFS(D70="","", D70="A","NW", D70="B","NE", D70="C","SW", D70="D","SE",D70="Omit", "")</x:f>
      </x:c>
      <x:c r="D70" s="60"/>
      <x:c r="E70" s="61" t="str">
        <x:f t="shared" si="1"/>
      </x:c>
      <x:c r="F70" s="67"/>
      <x:c r="G70" s="55"/>
      <x:c r="H70" s="61" t="str">
        <x:f t="array" ref="H70">IF($G70="","",TEXTJOIN("",TRUE,MID($B70,MID($G70,SEQUENCE(LEN($G70),1),1)+0,1)))</x:f>
      </x:c>
      <x:c r="I70" s="55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ht="14.25" customHeight="1">
      <x:c r="A71" s="47">
        <x:v>62.0</x:v>
      </x:c>
      <x:c r="B71" s="47" t="s">
        <x:v>152</x:v>
      </x:c>
      <x:c r="C71" s="48" t="str">
        <x:f t="array" ref="C71">IFS(D71="","", D71="A","SE", D71="B","NW", D71="C","NE", D71="D","SW",D71="Omit", "")</x:f>
      </x:c>
      <x:c r="D71" s="60"/>
      <x:c r="E71" s="61" t="str">
        <x:f t="shared" si="1"/>
      </x:c>
      <x:c r="F71" s="67"/>
      <x:c r="G71" s="55"/>
      <x:c r="H71" s="61" t="str">
        <x:f t="array" ref="H71">IF($G71="","",TEXTJOIN("",TRUE,MID($B71,MID($G71,SEQUENCE(LEN($G71),1),1)+0,1)))</x:f>
      </x:c>
      <x:c r="I71" s="55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ht="14.25" customHeight="1">
      <x:c r="A72" s="47">
        <x:v>63.0</x:v>
      </x:c>
      <x:c r="B72" s="47" t="s">
        <x:v>155</x:v>
      </x:c>
      <x:c r="C72" s="48" t="str">
        <x:f t="array" ref="C72">IFS(D72="","", D72="A","SW", D72="B","SE", D72="C","NW", D72="D","NE",D72="Omit", "")</x:f>
      </x:c>
      <x:c r="D72" s="60"/>
      <x:c r="E72" s="61" t="str">
        <x:f t="shared" si="1"/>
      </x:c>
      <x:c r="F72" s="67"/>
      <x:c r="G72" s="55"/>
      <x:c r="H72" s="61" t="str">
        <x:f t="array" ref="H72">IF($G72="","",TEXTJOIN("",TRUE,MID($B72,MID($G72,SEQUENCE(LEN($G72),1),1)+0,1)))</x:f>
      </x:c>
      <x:c r="I72" s="55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ht="14.25" customHeight="1">
      <x:c r="A73" s="47">
        <x:v>64.0</x:v>
      </x:c>
      <x:c r="B73" s="47" t="s">
        <x:v>158</x:v>
      </x:c>
      <x:c r="C73" s="48" t="str">
        <x:f t="array" ref="C73">IFS(D73="","", D73="A","NE", D73="B","SW", D73="C","SE", D73="D","NW",D73="Omit", "")</x:f>
      </x:c>
      <x:c r="D73" s="60"/>
      <x:c r="E73" s="61" t="str">
        <x:f t="shared" si="1"/>
      </x:c>
      <x:c r="F73" s="67"/>
      <x:c r="G73" s="55"/>
      <x:c r="H73" s="61" t="str">
        <x:f t="array" ref="H73">IF($G73="","",TEXTJOIN("",TRUE,MID($B73,MID($G73,SEQUENCE(LEN($G73),1),1)+0,1)))</x:f>
      </x:c>
      <x:c r="I73" s="55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ht="14.25" customHeight="1">
      <x:c r="A74" s="47">
        <x:v>65.0</x:v>
      </x:c>
      <x:c r="B74" s="47" t="s">
        <x:v>149</x:v>
      </x:c>
      <x:c r="C74" s="48" t="str">
        <x:f t="array" ref="C74">IFS(D74="","", D74="A","NW", D74="B","NE", D74="C","SW", D74="D","SE",D74="Omit", "")</x:f>
      </x:c>
      <x:c r="D74" s="60"/>
      <x:c r="E74" s="61" t="str">
        <x:f t="shared" si="1"/>
      </x:c>
      <x:c r="F74" s="67"/>
      <x:c r="G74" s="55"/>
      <x:c r="H74" s="61" t="str">
        <x:f t="array" ref="H74">IF($G74="","",TEXTJOIN("",TRUE,MID($B74,MID($G74,SEQUENCE(LEN($G74),1),1)+0,1)))</x:f>
      </x:c>
      <x:c r="I74" s="55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ht="14.25" customHeight="1">
      <x:c r="A75" s="47">
        <x:v>66.0</x:v>
      </x:c>
      <x:c r="B75" s="47" t="s">
        <x:v>152</x:v>
      </x:c>
      <x:c r="C75" s="48" t="str">
        <x:f t="array" ref="C75">IFS(D75="","", D75="A","SE", D75="B","NW", D75="C","NE", D75="D","SW",D75="Omit", "")</x:f>
      </x:c>
      <x:c r="D75" s="60"/>
      <x:c r="E75" s="61" t="str">
        <x:f t="shared" si="1"/>
      </x:c>
      <x:c r="F75" s="67"/>
      <x:c r="G75" s="55"/>
      <x:c r="H75" s="61" t="str">
        <x:f t="array" ref="H75">IF($G75="","",TEXTJOIN("",TRUE,MID($B75,MID($G75,SEQUENCE(LEN($G75),1),1)+0,1)))</x:f>
      </x:c>
      <x:c r="I75" s="55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ht="14.25" customHeight="1">
      <x:c r="A76" s="47">
        <x:v>67.0</x:v>
      </x:c>
      <x:c r="B76" s="47" t="s">
        <x:v>155</x:v>
      </x:c>
      <x:c r="C76" s="48" t="str">
        <x:f t="array" ref="C76">IFS(D76="","", D76="A","SW", D76="B","SE", D76="C","NW", D76="D","NE",D76="Omit", "")</x:f>
      </x:c>
      <x:c r="D76" s="60"/>
      <x:c r="E76" s="61" t="str">
        <x:f t="shared" si="1"/>
      </x:c>
      <x:c r="F76" s="67"/>
      <x:c r="G76" s="55"/>
      <x:c r="H76" s="61" t="str">
        <x:f t="array" ref="H76">IF($G76="","",TEXTJOIN("",TRUE,MID($B76,MID($G76,SEQUENCE(LEN($G76),1),1)+0,1)))</x:f>
      </x:c>
      <x:c r="I76" s="55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ht="14.25" customHeight="1">
      <x:c r="A77" s="47">
        <x:v>68.0</x:v>
      </x:c>
      <x:c r="B77" s="47" t="s">
        <x:v>158</x:v>
      </x:c>
      <x:c r="C77" s="48" t="str">
        <x:f t="array" ref="C77">IFS(D77="","", D77="A","NE", D77="B","SW", D77="C","SE", D77="D","NW",D77="Omit", "")</x:f>
      </x:c>
      <x:c r="D77" s="60"/>
      <x:c r="E77" s="61" t="str">
        <x:f t="shared" si="1"/>
      </x:c>
      <x:c r="F77" s="67"/>
      <x:c r="G77" s="55"/>
      <x:c r="H77" s="61" t="str">
        <x:f t="array" ref="H77">IF($G77="","",TEXTJOIN("",TRUE,MID($B77,MID($G77,SEQUENCE(LEN($G77),1),1)+0,1)))</x:f>
      </x:c>
      <x:c r="I77" s="55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ht="14.25" customHeight="1">
      <x:c r="A78" s="47">
        <x:v>69.0</x:v>
      </x:c>
      <x:c r="B78" s="47" t="s">
        <x:v>149</x:v>
      </x:c>
      <x:c r="C78" s="48" t="str">
        <x:f t="array" ref="C78">IFS(D78="","", D78="A","NW", D78="B","NE", D78="C","SW", D78="D","SE",D78="Omit", "")</x:f>
      </x:c>
      <x:c r="D78" s="60"/>
      <x:c r="E78" s="61" t="str">
        <x:f t="shared" si="1"/>
      </x:c>
      <x:c r="F78" s="67"/>
      <x:c r="G78" s="55"/>
      <x:c r="H78" s="61" t="str">
        <x:f t="array" ref="H78">IF($G78="","",TEXTJOIN("",TRUE,MID($B78,MID($G78,SEQUENCE(LEN($G78),1),1)+0,1)))</x:f>
      </x:c>
      <x:c r="I78" s="55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ht="14.25" customHeight="1">
      <x:c r="A79" s="47">
        <x:v>70.0</x:v>
      </x:c>
      <x:c r="B79" s="47" t="s">
        <x:v>152</x:v>
      </x:c>
      <x:c r="C79" s="48" t="str">
        <x:f t="array" ref="C79">IFS(D79="","", D79="A","SE", D79="B","NW", D79="C","NE", D79="D","SW",D79="Omit", "")</x:f>
      </x:c>
      <x:c r="D79" s="60"/>
      <x:c r="E79" s="61" t="str">
        <x:f t="shared" si="1"/>
      </x:c>
      <x:c r="F79" s="67"/>
      <x:c r="G79" s="55"/>
      <x:c r="H79" s="61" t="str">
        <x:f t="array" ref="H79">IF($G79="","",TEXTJOIN("",TRUE,MID($B79,MID($G79,SEQUENCE(LEN($G79),1),1)+0,1)))</x:f>
      </x:c>
      <x:c r="I79" s="55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>
      <x:c r="A80" s="47">
        <x:v>71.0</x:v>
      </x:c>
      <x:c r="B80" s="47" t="s">
        <x:v>155</x:v>
      </x:c>
      <x:c r="C80" s="48" t="str">
        <x:f t="array" ref="C80">IFS(D80="","", D80="A","SW", D80="B","SE", D80="C","NW", D80="D","NE",D80="Omit", "")</x:f>
      </x:c>
      <x:c r="D80" s="60"/>
      <x:c r="E80" s="61" t="str">
        <x:f t="shared" si="1"/>
      </x:c>
      <x:c r="F80" s="67"/>
      <x:c r="G80" s="72"/>
      <x:c r="H80" s="61" t="str">
        <x:f t="array" ref="H80">IF($G80="","",TEXTJOIN("",TRUE,MID($B80,MID($G80,SEQUENCE(LEN($G80),1),1)+0,1)))</x:f>
      </x:c>
      <x:c r="I80" s="72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>
      <x:c r="A81" s="47">
        <x:v>72.0</x:v>
      </x:c>
      <x:c r="B81" s="47" t="s">
        <x:v>158</x:v>
      </x:c>
      <x:c r="C81" s="48" t="str">
        <x:f t="array" ref="C81">IFS(D81="","", D81="A","NE", D81="B","SW", D81="C","SE", D81="D","NW",D81="Omit", "")</x:f>
      </x:c>
      <x:c r="D81" s="60"/>
      <x:c r="E81" s="61" t="str">
        <x:f t="shared" si="1"/>
      </x:c>
      <x:c r="F81" s="67"/>
      <x:c r="G81" s="72"/>
      <x:c r="H81" s="61" t="str">
        <x:f t="array" ref="H81">IF($G81="","",TEXTJOIN("",TRUE,MID($B81,MID($G81,SEQUENCE(LEN($G81),1),1)+0,1)))</x:f>
      </x:c>
      <x:c r="I81" s="72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>
      <x:c r="A82" s="47">
        <x:v>73.0</x:v>
      </x:c>
      <x:c r="B82" s="47" t="s">
        <x:v>149</x:v>
      </x:c>
      <x:c r="C82" s="48" t="str">
        <x:f t="array" ref="C82">IFS(D82="","", D82="A","NW", D82="B","NE", D82="C","SW", D82="D","SE",D82="Omit", "")</x:f>
      </x:c>
      <x:c r="D82" s="60"/>
      <x:c r="E82" s="61" t="str">
        <x:f t="shared" si="1"/>
      </x:c>
      <x:c r="F82" s="67"/>
      <x:c r="G82" s="72"/>
      <x:c r="H82" s="61" t="str">
        <x:f t="array" ref="H82">IF($G82="","",TEXTJOIN("",TRUE,MID($B82,MID($G82,SEQUENCE(LEN($G82),1),1)+0,1)))</x:f>
      </x:c>
      <x:c r="I82" s="72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>
      <x:c r="A83" s="47">
        <x:v>74.0</x:v>
      </x:c>
      <x:c r="B83" s="47" t="s">
        <x:v>152</x:v>
      </x:c>
      <x:c r="C83" s="48" t="str">
        <x:f t="array" ref="C83">IFS(D83="","", D83="A","SE", D83="B","NW", D83="C","NE", D83="D","SW",D83="Omit", "")</x:f>
      </x:c>
      <x:c r="D83" s="60"/>
      <x:c r="E83" s="61" t="str">
        <x:f t="shared" si="1"/>
      </x:c>
      <x:c r="F83" s="67"/>
      <x:c r="G83" s="72"/>
      <x:c r="H83" s="61" t="str">
        <x:f t="array" ref="H83">IF($G83="","",TEXTJOIN("",TRUE,MID($B83,MID($G83,SEQUENCE(LEN($G83),1),1)+0,1)))</x:f>
      </x:c>
      <x:c r="I83" s="72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>
      <x:c r="A84" s="47">
        <x:v>75.0</x:v>
      </x:c>
      <x:c r="B84" s="47" t="s">
        <x:v>155</x:v>
      </x:c>
      <x:c r="C84" s="48" t="str">
        <x:f t="array" ref="C84">IFS(D84="","", D84="A","SW", D84="B","SE", D84="C","NW", D84="D","NE",D84="Omit", "")</x:f>
      </x:c>
      <x:c r="D84" s="60"/>
      <x:c r="E84" s="61" t="str">
        <x:f t="shared" si="1"/>
      </x:c>
      <x:c r="F84" s="67"/>
      <x:c r="G84" s="72"/>
      <x:c r="H84" s="61" t="str">
        <x:f t="array" ref="H84">IF($G84="","",TEXTJOIN("",TRUE,MID($B84,MID($G84,SEQUENCE(LEN($G84),1),1)+0,1)))</x:f>
      </x:c>
      <x:c r="I84" s="72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>
      <x:c r="A85" s="47">
        <x:v>76.0</x:v>
      </x:c>
      <x:c r="B85" s="47" t="s">
        <x:v>158</x:v>
      </x:c>
      <x:c r="C85" s="48" t="str">
        <x:f t="array" ref="C85">IFS(D85="","", D85="A","NE", D85="B","SW", D85="C","SE", D85="D","NW",D85="Omit", "")</x:f>
      </x:c>
      <x:c r="D85" s="60"/>
      <x:c r="E85" s="61" t="str">
        <x:f t="shared" si="1"/>
      </x:c>
      <x:c r="F85" s="67"/>
      <x:c r="G85" s="72"/>
      <x:c r="H85" s="61" t="str">
        <x:f t="array" ref="H85">IF($G85="","",TEXTJOIN("",TRUE,MID($B85,MID($G85,SEQUENCE(LEN($G85),1),1)+0,1)))</x:f>
      </x:c>
      <x:c r="I85" s="72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>
      <x:c r="A86" s="47">
        <x:v>77.0</x:v>
      </x:c>
      <x:c r="B86" s="47" t="s">
        <x:v>149</x:v>
      </x:c>
      <x:c r="C86" s="48" t="str">
        <x:f t="array" ref="C86">IFS(D86="","", D86="A","NW", D86="B","NE", D86="C","SW", D86="D","SE",D86="Omit", "")</x:f>
      </x:c>
      <x:c r="D86" s="60"/>
      <x:c r="E86" s="61" t="str">
        <x:f t="shared" si="1"/>
      </x:c>
      <x:c r="F86" s="67"/>
      <x:c r="G86" s="72"/>
      <x:c r="H86" s="61" t="str">
        <x:f t="array" ref="H86">IF($G86="","",TEXTJOIN("",TRUE,MID($B86,MID($G86,SEQUENCE(LEN($G86),1),1)+0,1)))</x:f>
      </x:c>
      <x:c r="I86" s="72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>
      <x:c r="A87" s="47">
        <x:v>78.0</x:v>
      </x:c>
      <x:c r="B87" s="47" t="s">
        <x:v>152</x:v>
      </x:c>
      <x:c r="C87" s="48" t="str">
        <x:f t="array" ref="C87">IFS(D87="","", D87="A","SE", D87="B","NW", D87="C","NE", D87="D","SW",D87="Omit", "")</x:f>
      </x:c>
      <x:c r="D87" s="60"/>
      <x:c r="E87" s="61" t="str">
        <x:f t="shared" si="1"/>
      </x:c>
      <x:c r="F87" s="67"/>
      <x:c r="G87" s="72"/>
      <x:c r="H87" s="61" t="str">
        <x:f t="array" ref="H87">IF($G87="","",TEXTJOIN("",TRUE,MID($B87,MID($G87,SEQUENCE(LEN($G87),1),1)+0,1)))</x:f>
      </x:c>
      <x:c r="I87" s="72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>
      <x:c r="A88" s="47">
        <x:v>79.0</x:v>
      </x:c>
      <x:c r="B88" s="47" t="s">
        <x:v>155</x:v>
      </x:c>
      <x:c r="C88" s="48" t="str">
        <x:f t="array" ref="C88">IFS(D88="","", D88="A","SW", D88="B","SE", D88="C","NW", D88="D","NE",D88="Omit", "")</x:f>
      </x:c>
      <x:c r="D88" s="60"/>
      <x:c r="E88" s="61" t="str">
        <x:f t="shared" si="1"/>
      </x:c>
      <x:c r="F88" s="67"/>
      <x:c r="G88" s="72"/>
      <x:c r="H88" s="61" t="str">
        <x:f t="array" ref="H88">IF($G88="","",TEXTJOIN("",TRUE,MID($B88,MID($G88,SEQUENCE(LEN($G88),1),1)+0,1)))</x:f>
      </x:c>
      <x:c r="I88" s="72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>
      <x:c r="A89" s="47">
        <x:v>80.0</x:v>
      </x:c>
      <x:c r="B89" s="47" t="s">
        <x:v>158</x:v>
      </x:c>
      <x:c r="C89" s="48" t="str">
        <x:f t="array" ref="C89">IFS(D89="","", D89="A","NE", D89="B","SW", D89="C","SE", D89="D","NW",D89="Omit", "")</x:f>
      </x:c>
      <x:c r="D89" s="60"/>
      <x:c r="E89" s="61" t="str">
        <x:f t="shared" si="1"/>
      </x:c>
      <x:c r="F89" s="67"/>
      <x:c r="G89" s="72"/>
      <x:c r="H89" s="61" t="str">
        <x:f t="array" ref="H89">IF($G89="","",TEXTJOIN("",TRUE,MID($B89,MID($G89,SEQUENCE(LEN($G89),1),1)+0,1)))</x:f>
      </x:c>
      <x:c r="I89" s="72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>
      <x:c r="A90" s="47">
        <x:v>81.0</x:v>
      </x:c>
      <x:c r="B90" s="47" t="s">
        <x:v>149</x:v>
      </x:c>
      <x:c r="C90" s="48" t="str">
        <x:f t="array" ref="C90">IFS(D90="","", D90="A","NW", D90="B","NE", D90="C","SW", D90="D","SE",D90="Omit", "")</x:f>
      </x:c>
      <x:c r="D90" s="60"/>
      <x:c r="E90" s="61" t="str">
        <x:f t="shared" si="1"/>
      </x:c>
      <x:c r="F90" s="67"/>
      <x:c r="G90" s="72"/>
      <x:c r="H90" s="61" t="str">
        <x:f t="array" ref="H90">IF($G90="","",TEXTJOIN("",TRUE,MID($B90,MID($G90,SEQUENCE(LEN($G90),1),1)+0,1)))</x:f>
      </x:c>
      <x:c r="I90" s="72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>
      <x:c r="A91" s="47">
        <x:v>82.0</x:v>
      </x:c>
      <x:c r="B91" s="47" t="s">
        <x:v>152</x:v>
      </x:c>
      <x:c r="C91" s="48" t="str">
        <x:f t="array" ref="C91">IFS(D91="","", D91="A","SE", D91="B","NW", D91="C","NE", D91="D","SW",D91="Omit", "")</x:f>
      </x:c>
      <x:c r="D91" s="60"/>
      <x:c r="E91" s="61" t="str">
        <x:f t="shared" si="1"/>
      </x:c>
      <x:c r="F91" s="67"/>
      <x:c r="G91" s="72"/>
      <x:c r="H91" s="61" t="str">
        <x:f t="array" ref="H91">IF($G91="","",TEXTJOIN("",TRUE,MID($B91,MID($G91,SEQUENCE(LEN($G91),1),1)+0,1)))</x:f>
      </x:c>
      <x:c r="I91" s="72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>
      <x:c r="A92" s="47">
        <x:v>83.0</x:v>
      </x:c>
      <x:c r="B92" s="47" t="s">
        <x:v>155</x:v>
      </x:c>
      <x:c r="C92" s="48" t="str">
        <x:f t="array" ref="C92">IFS(D92="","", D92="A","SW", D92="B","SE", D92="C","NW", D92="D","NE",D92="Omit", "")</x:f>
      </x:c>
      <x:c r="D92" s="60"/>
      <x:c r="E92" s="61" t="str">
        <x:f t="shared" si="1"/>
      </x:c>
      <x:c r="F92" s="67"/>
      <x:c r="G92" s="72"/>
      <x:c r="H92" s="61" t="str">
        <x:f t="array" ref="H92">IF($G92="","",TEXTJOIN("",TRUE,MID($B92,MID($G92,SEQUENCE(LEN($G92),1),1)+0,1)))</x:f>
      </x:c>
      <x:c r="I92" s="72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>
      <x:c r="A93" s="47">
        <x:v>84.0</x:v>
      </x:c>
      <x:c r="B93" s="47" t="s">
        <x:v>158</x:v>
      </x:c>
      <x:c r="C93" s="48" t="str">
        <x:f t="array" ref="C93">IFS(D93="","", D93="A","NE", D93="B","SW", D93="C","SE", D93="D","NW",D93="Omit", "")</x:f>
      </x:c>
      <x:c r="D93" s="60"/>
      <x:c r="E93" s="61" t="str">
        <x:f t="shared" si="1"/>
      </x:c>
      <x:c r="F93" s="67"/>
      <x:c r="G93" s="72"/>
      <x:c r="H93" s="61" t="str">
        <x:f t="array" ref="H93">IF($G93="","",TEXTJOIN("",TRUE,MID($B93,MID($G93,SEQUENCE(LEN($G93),1),1)+0,1)))</x:f>
      </x:c>
      <x:c r="I93" s="72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>
      <x:c r="A94" s="47">
        <x:v>85.0</x:v>
      </x:c>
      <x:c r="B94" s="47" t="s">
        <x:v>149</x:v>
      </x:c>
      <x:c r="C94" s="48" t="str">
        <x:f t="array" ref="C94">IFS(D94="","", D94="A","NW", D94="B","NE", D94="C","SW", D94="D","SE",D94="Omit", "")</x:f>
      </x:c>
      <x:c r="D94" s="60"/>
      <x:c r="E94" s="61" t="str">
        <x:f t="shared" si="1"/>
      </x:c>
      <x:c r="F94" s="67"/>
      <x:c r="G94" s="72"/>
      <x:c r="H94" s="61" t="str">
        <x:f t="array" ref="H94">IF($G94="","",TEXTJOIN("",TRUE,MID($B94,MID($G94,SEQUENCE(LEN($G94),1),1)+0,1)))</x:f>
      </x:c>
      <x:c r="I94" s="72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>
      <x:c r="A95" s="47">
        <x:v>86.0</x:v>
      </x:c>
      <x:c r="B95" s="47" t="s">
        <x:v>152</x:v>
      </x:c>
      <x:c r="C95" s="48" t="str">
        <x:f t="array" ref="C95">IFS(D95="","", D95="A","SE", D95="B","NW", D95="C","NE", D95="D","SW",D95="Omit", "")</x:f>
      </x:c>
      <x:c r="D95" s="60"/>
      <x:c r="E95" s="61" t="str">
        <x:f t="shared" si="1"/>
      </x:c>
      <x:c r="F95" s="67"/>
      <x:c r="G95" s="72"/>
      <x:c r="H95" s="61" t="str">
        <x:f t="array" ref="H95">IF($G95="","",TEXTJOIN("",TRUE,MID($B95,MID($G95,SEQUENCE(LEN($G95),1),1)+0,1)))</x:f>
      </x:c>
      <x:c r="I95" s="72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>
      <x:c r="A96" s="47">
        <x:v>87.0</x:v>
      </x:c>
      <x:c r="B96" s="47" t="s">
        <x:v>155</x:v>
      </x:c>
      <x:c r="C96" s="48" t="str">
        <x:f t="array" ref="C96">IFS(D96="","", D96="A","SW", D96="B","SE", D96="C","NW", D96="D","NE",D96="Omit", "")</x:f>
      </x:c>
      <x:c r="D96" s="60"/>
      <x:c r="E96" s="61" t="str">
        <x:f t="shared" si="1"/>
      </x:c>
      <x:c r="F96" s="67"/>
      <x:c r="G96" s="72"/>
      <x:c r="H96" s="61" t="str">
        <x:f t="array" ref="H96">IF($G96="","",TEXTJOIN("",TRUE,MID($B96,MID($G96,SEQUENCE(LEN($G96),1),1)+0,1)))</x:f>
      </x:c>
      <x:c r="I96" s="72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>
      <x:c r="A97" s="47">
        <x:v>88.0</x:v>
      </x:c>
      <x:c r="B97" s="47" t="s">
        <x:v>158</x:v>
      </x:c>
      <x:c r="C97" s="48" t="str">
        <x:f t="array" ref="C97">IFS(D97="","", D97="A","NE", D97="B","SW", D97="C","SE", D97="D","NW",D97="Omit", "")</x:f>
      </x:c>
      <x:c r="D97" s="60"/>
      <x:c r="E97" s="61" t="str">
        <x:f t="shared" si="1"/>
      </x:c>
      <x:c r="F97" s="67"/>
      <x:c r="G97" s="72"/>
      <x:c r="H97" s="61" t="str">
        <x:f t="array" ref="H97">IF($G97="","",TEXTJOIN("",TRUE,MID($B97,MID($G97,SEQUENCE(LEN($G97),1),1)+0,1)))</x:f>
      </x:c>
      <x:c r="I97" s="72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>
      <x:c r="A98" s="47">
        <x:v>89.0</x:v>
      </x:c>
      <x:c r="B98" s="47" t="s">
        <x:v>149</x:v>
      </x:c>
      <x:c r="C98" s="48" t="str">
        <x:f t="array" ref="C98">IFS(D98="","", D98="A","NW", D98="B","NE", D98="C","SW", D98="D","SE",D98="Omit", "")</x:f>
      </x:c>
      <x:c r="D98" s="60"/>
      <x:c r="E98" s="61" t="str">
        <x:f t="shared" si="1"/>
      </x:c>
      <x:c r="F98" s="67"/>
      <x:c r="G98" s="72"/>
      <x:c r="H98" s="61" t="str">
        <x:f t="array" ref="H98">IF($G98="","",TEXTJOIN("",TRUE,MID($B98,MID($G98,SEQUENCE(LEN($G98),1),1)+0,1)))</x:f>
      </x:c>
      <x:c r="I98" s="72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>
      <x:c r="A99" s="47">
        <x:v>90.0</x:v>
      </x:c>
      <x:c r="B99" s="47" t="s">
        <x:v>152</x:v>
      </x:c>
      <x:c r="C99" s="48" t="str">
        <x:f t="array" ref="C99">IFS(D99="","", D99="A","SE", D99="B","NW", D99="C","NE", D99="D","SW",D99="Omit", "")</x:f>
      </x:c>
      <x:c r="D99" s="60"/>
      <x:c r="E99" s="61" t="str">
        <x:f t="shared" si="1"/>
      </x:c>
      <x:c r="F99" s="67"/>
      <x:c r="G99" s="72"/>
      <x:c r="H99" s="61" t="str">
        <x:f t="array" ref="H99">IF($G99="","",TEXTJOIN("",TRUE,MID($B99,MID($G99,SEQUENCE(LEN($G99),1),1)+0,1)))</x:f>
      </x:c>
      <x:c r="I99" s="72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>
      <x:c r="A100" s="47">
        <x:v>91.0</x:v>
      </x:c>
      <x:c r="B100" s="47" t="s">
        <x:v>155</x:v>
      </x:c>
      <x:c r="C100" s="48" t="str">
        <x:f t="array" ref="C100">IFS(D100="","", D100="A","NW", D100="B","NE", D100="C","SW", D100="D","SE",D100="Omit", "")</x:f>
      </x:c>
      <x:c r="D100" s="60"/>
      <x:c r="E100" s="61" t="str">
        <x:f t="shared" si="1"/>
      </x:c>
      <x:c r="F100" s="67"/>
      <x:c r="G100" s="72"/>
      <x:c r="H100" s="61" t="str">
        <x:f t="array" ref="H100">IF($G100="","",TEXTJOIN("",TRUE,MID($B100,MID($G100,SEQUENCE(LEN($G100),1),1)+0,1)))</x:f>
      </x:c>
      <x:c r="I100" s="72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>
      <x:c r="A101" s="47">
        <x:v>92.0</x:v>
      </x:c>
      <x:c r="B101" s="47" t="s">
        <x:v>158</x:v>
      </x:c>
      <x:c r="C101" s="48" t="str">
        <x:f t="array" ref="C101">IFS(D101="","", D101="A","SE", D101="B","NW", D101="C","NE", D101="D","SW",D101="Omit", "")</x:f>
      </x:c>
      <x:c r="D101" s="60"/>
      <x:c r="E101" s="61" t="str">
        <x:f t="shared" si="1"/>
      </x:c>
      <x:c r="F101" s="67"/>
      <x:c r="G101" s="72"/>
      <x:c r="H101" s="61" t="str">
        <x:f t="array" ref="H101">IF($G101="","",TEXTJOIN("",TRUE,MID($B101,MID($G101,SEQUENCE(LEN($G101),1),1)+0,1)))</x:f>
      </x:c>
      <x:c r="I101" s="72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>
      <x:c r="A102" s="47">
        <x:v>93.0</x:v>
      </x:c>
      <x:c r="B102" s="47" t="s">
        <x:v>149</x:v>
      </x:c>
      <x:c r="C102" s="48" t="str">
        <x:f t="array" ref="C102">IFS(D102="","", D102="A","SW", D102="B","SE", D102="C","NW", D102="D","NE",D102="Omit", "")</x:f>
      </x:c>
      <x:c r="D102" s="60"/>
      <x:c r="E102" s="61" t="str">
        <x:f t="shared" si="1"/>
      </x:c>
      <x:c r="F102" s="67"/>
      <x:c r="G102" s="72"/>
      <x:c r="H102" s="61" t="str">
        <x:f t="array" ref="H102">IF($G102="","",TEXTJOIN("",TRUE,MID($B102,MID($G102,SEQUENCE(LEN($G102),1),1)+0,1)))</x:f>
      </x:c>
      <x:c r="I102" s="72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>
      <x:c r="A103" s="47">
        <x:v>94.0</x:v>
      </x:c>
      <x:c r="B103" s="47" t="s">
        <x:v>152</x:v>
      </x:c>
      <x:c r="C103" s="48" t="str">
        <x:f t="array" ref="C103">IFS(D103="","", D103="A","NE", D103="B","SW", D103="C","SE", D103="D","NW",D103="Omit", "")</x:f>
      </x:c>
      <x:c r="D103" s="60"/>
      <x:c r="E103" s="61" t="str">
        <x:f t="shared" si="1"/>
      </x:c>
      <x:c r="F103" s="67"/>
      <x:c r="G103" s="72"/>
      <x:c r="H103" s="61" t="str">
        <x:f t="array" ref="H103">IF($G103="","",TEXTJOIN("",TRUE,MID($B103,MID($G103,SEQUENCE(LEN($G103),1),1)+0,1)))</x:f>
      </x:c>
      <x:c r="I103" s="72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>
      <x:c r="A104" s="47">
        <x:v>95.0</x:v>
      </x:c>
      <x:c r="B104" s="47" t="s">
        <x:v>155</x:v>
      </x:c>
      <x:c r="C104" s="48" t="str">
        <x:f t="array" ref="C104">IFS(D104="","", D104="A","NW", D104="B","NE", D104="C","SW", D104="D","SE",D104="Omit", "")</x:f>
      </x:c>
      <x:c r="D104" s="60"/>
      <x:c r="E104" s="61" t="str">
        <x:f t="shared" si="1"/>
      </x:c>
      <x:c r="F104" s="67"/>
      <x:c r="G104" s="72"/>
      <x:c r="H104" s="61" t="str">
        <x:f t="array" ref="H104">IF($G104="","",TEXTJOIN("",TRUE,MID($B104,MID($G104,SEQUENCE(LEN($G104),1),1)+0,1)))</x:f>
      </x:c>
      <x:c r="I104" s="72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>
      <x:c r="A105" s="47">
        <x:v>96.0</x:v>
      </x:c>
      <x:c r="B105" s="47" t="s">
        <x:v>158</x:v>
      </x:c>
      <x:c r="C105" s="48" t="str">
        <x:f t="array" ref="C105">IFS(D105="","", D105="A","SE", D105="B","NW", D105="C","NE", D105="D","SW",D105="Omit", "")</x:f>
      </x:c>
      <x:c r="D105" s="60"/>
      <x:c r="E105" s="61" t="str">
        <x:f t="shared" si="1"/>
      </x:c>
      <x:c r="F105" s="67"/>
      <x:c r="G105" s="72"/>
      <x:c r="H105" s="61" t="str">
        <x:f t="array" ref="H105">IF($G105="","",TEXTJOIN("",TRUE,MID($B105,MID($G105,SEQUENCE(LEN($G105),1),1)+0,1)))</x:f>
      </x:c>
      <x:c r="I105" s="72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>
      <x:c r="A106" s="47">
        <x:v>97.0</x:v>
      </x:c>
      <x:c r="B106" s="47" t="s">
        <x:v>149</x:v>
      </x:c>
      <x:c r="C106" s="48" t="str">
        <x:f t="array" ref="C106">IFS(D106="","", D106="A","SW", D106="B","SE", D106="C","NW", D106="D","NE",D106="Omit", "")</x:f>
      </x:c>
      <x:c r="D106" s="60"/>
      <x:c r="E106" s="61" t="str">
        <x:f t="shared" si="1"/>
      </x:c>
      <x:c r="F106" s="67"/>
      <x:c r="G106" s="72"/>
      <x:c r="H106" s="61" t="str">
        <x:f t="array" ref="H106">IF($G106="","",TEXTJOIN("",TRUE,MID($B106,MID($G106,SEQUENCE(LEN($G106),1),1)+0,1)))</x:f>
      </x:c>
      <x:c r="I106" s="72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>
      <x:c r="A107" s="47">
        <x:v>98.0</x:v>
      </x:c>
      <x:c r="B107" s="47" t="s">
        <x:v>152</x:v>
      </x:c>
      <x:c r="C107" s="48" t="str">
        <x:f t="array" ref="C107">IFS(D107="","", D107="A","NE", D107="B","SW", D107="C","SE", D107="D","NW",D107="Omit", "")</x:f>
      </x:c>
      <x:c r="D107" s="60"/>
      <x:c r="E107" s="61" t="str">
        <x:f t="shared" si="1"/>
      </x:c>
      <x:c r="F107" s="67"/>
      <x:c r="G107" s="72"/>
      <x:c r="H107" s="61" t="str">
        <x:f t="array" ref="H107">IF($G107="","",TEXTJOIN("",TRUE,MID($B107,MID($G107,SEQUENCE(LEN($G107),1),1)+0,1)))</x:f>
      </x:c>
      <x:c r="I107" s="72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>
      <x:c r="A108" s="47">
        <x:v>99.0</x:v>
      </x:c>
      <x:c r="B108" s="47" t="s">
        <x:v>155</x:v>
      </x:c>
      <x:c r="C108" s="48" t="str">
        <x:f t="array" ref="C108">IFS(D108="","", D108="A","NW", D108="B","NE", D108="C","SW", D108="D","SE",D108="Omit", "")</x:f>
      </x:c>
      <x:c r="D108" s="60"/>
      <x:c r="E108" s="61" t="str">
        <x:f t="shared" si="1"/>
      </x:c>
      <x:c r="F108" s="67"/>
      <x:c r="G108" s="72"/>
      <x:c r="H108" s="61" t="str">
        <x:f t="array" ref="H108">IF($G108="","",TEXTJOIN("",TRUE,MID($B108,MID($G108,SEQUENCE(LEN($G108),1),1)+0,1)))</x:f>
      </x:c>
      <x:c r="I108" s="72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>
      <x:c r="A109" s="47">
        <x:v>100.0</x:v>
      </x:c>
      <x:c r="B109" s="47" t="s">
        <x:v>158</x:v>
      </x:c>
      <x:c r="C109" s="48" t="str">
        <x:f t="array" ref="C109">IFS(D109="","", D109="A","SE", D109="B","NW", D109="C","NE", D109="D","SW",D109="Omit", "")</x:f>
      </x:c>
      <x:c r="D109" s="60"/>
      <x:c r="E109" s="61" t="str">
        <x:f t="shared" si="1"/>
      </x:c>
      <x:c r="F109" s="67"/>
      <x:c r="G109" s="72"/>
      <x:c r="H109" s="61" t="str">
        <x:f t="array" ref="H109">IF($G109="","",TEXTJOIN("",TRUE,MID($B109,MID($G109,SEQUENCE(LEN($G109),1),1)+0,1)))</x:f>
      </x:c>
      <x:c r="I109" s="72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>
      <x:c r="A110" s="47">
        <x:v>101.0</x:v>
      </x:c>
      <x:c r="B110" s="47" t="s">
        <x:v>149</x:v>
      </x:c>
      <x:c r="C110" s="48" t="str">
        <x:f t="array" ref="C110">IFS(D110="","", D110="A","SW", D110="B","SE", D110="C","NW", D110="D","NE",D110="Omit", "")</x:f>
      </x:c>
      <x:c r="D110" s="60"/>
      <x:c r="E110" s="61" t="str">
        <x:f t="shared" si="1"/>
      </x:c>
      <x:c r="F110" s="67"/>
      <x:c r="G110" s="72"/>
      <x:c r="H110" s="61" t="str">
        <x:f t="array" ref="H110">IF($G110="","",TEXTJOIN("",TRUE,MID($B110,MID($G110,SEQUENCE(LEN($G110),1),1)+0,1)))</x:f>
      </x:c>
      <x:c r="I110" s="72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>
      <x:c r="A111" s="47">
        <x:v>102.0</x:v>
      </x:c>
      <x:c r="B111" s="47" t="s">
        <x:v>152</x:v>
      </x:c>
      <x:c r="C111" s="48" t="str">
        <x:f t="array" ref="C111">IFS(D111="","", D111="A","NE", D111="B","SW", D111="C","SE", D111="D","NW",D111="Omit", "")</x:f>
      </x:c>
      <x:c r="D111" s="60"/>
      <x:c r="E111" s="61" t="str">
        <x:f t="shared" si="1"/>
      </x:c>
      <x:c r="F111" s="67"/>
      <x:c r="G111" s="72"/>
      <x:c r="H111" s="61" t="str">
        <x:f t="array" ref="H111">IF($G111="","",TEXTJOIN("",TRUE,MID($B111,MID($G111,SEQUENCE(LEN($G111),1),1)+0,1)))</x:f>
      </x:c>
      <x:c r="I111" s="72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>
      <x:c r="A112" s="47">
        <x:v>103.0</x:v>
      </x:c>
      <x:c r="B112" s="47" t="s">
        <x:v>155</x:v>
      </x:c>
      <x:c r="C112" s="48" t="str">
        <x:f t="array" ref="C112">IFS(D112="","", D112="A","NW", D112="B","NE", D112="C","SW", D112="D","SE",D112="Omit", "")</x:f>
      </x:c>
      <x:c r="D112" s="60"/>
      <x:c r="E112" s="61" t="str">
        <x:f t="shared" si="1"/>
      </x:c>
      <x:c r="F112" s="67"/>
      <x:c r="G112" s="72"/>
      <x:c r="H112" s="61" t="str">
        <x:f t="array" ref="H112">IF($G112="","",TEXTJOIN("",TRUE,MID($B112,MID($G112,SEQUENCE(LEN($G112),1),1)+0,1)))</x:f>
      </x:c>
      <x:c r="I112" s="72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>
      <x:c r="A113" s="47">
        <x:v>104.0</x:v>
      </x:c>
      <x:c r="B113" s="47" t="s">
        <x:v>158</x:v>
      </x:c>
      <x:c r="C113" s="48" t="str">
        <x:f t="array" ref="C113">IFS(D113="","", D113="A","SE", D113="B","NW", D113="C","NE", D113="D","SW",D113="Omit", "")</x:f>
      </x:c>
      <x:c r="D113" s="60"/>
      <x:c r="E113" s="61" t="str">
        <x:f t="shared" si="1"/>
      </x:c>
      <x:c r="F113" s="67"/>
      <x:c r="G113" s="72"/>
      <x:c r="H113" s="61" t="str">
        <x:f t="array" ref="H113">IF($G113="","",TEXTJOIN("",TRUE,MID($B113,MID($G113,SEQUENCE(LEN($G113),1),1)+0,1)))</x:f>
      </x:c>
      <x:c r="I113" s="72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>
      <x:c r="A114" s="47">
        <x:v>105.0</x:v>
      </x:c>
      <x:c r="B114" s="47" t="s">
        <x:v>149</x:v>
      </x:c>
      <x:c r="C114" s="48" t="str">
        <x:f t="array" ref="C114">IFS(D114="","", D114="A","SW", D114="B","SE", D114="C","NW", D114="D","NE",D114="Omit", "")</x:f>
      </x:c>
      <x:c r="D114" s="60"/>
      <x:c r="E114" s="61" t="str">
        <x:f t="shared" si="1"/>
      </x:c>
      <x:c r="F114" s="67"/>
      <x:c r="G114" s="72"/>
      <x:c r="H114" s="61" t="str">
        <x:f t="array" ref="H114">IF($G114="","",TEXTJOIN("",TRUE,MID($B114,MID($G114,SEQUENCE(LEN($G114),1),1)+0,1)))</x:f>
      </x:c>
      <x:c r="I114" s="72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>
      <x:c r="A115" s="47">
        <x:v>106.0</x:v>
      </x:c>
      <x:c r="B115" s="47" t="s">
        <x:v>152</x:v>
      </x:c>
      <x:c r="C115" s="48" t="str">
        <x:f t="array" ref="C115">IFS(D115="","", D115="A","NE", D115="B","SW", D115="C","SE", D115="D","NW",D115="Omit", "")</x:f>
      </x:c>
      <x:c r="D115" s="60"/>
      <x:c r="E115" s="61" t="str">
        <x:f t="shared" si="1"/>
      </x:c>
      <x:c r="F115" s="67"/>
      <x:c r="G115" s="72"/>
      <x:c r="H115" s="61" t="str">
        <x:f t="array" ref="H115">IF($G115="","",TEXTJOIN("",TRUE,MID($B115,MID($G115,SEQUENCE(LEN($G115),1),1)+0,1)))</x:f>
      </x:c>
      <x:c r="I115" s="72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>
      <x:c r="A116" s="47">
        <x:v>107.0</x:v>
      </x:c>
      <x:c r="B116" s="47" t="s">
        <x:v>155</x:v>
      </x:c>
      <x:c r="C116" s="48" t="str">
        <x:f t="array" ref="C116">IFS(D116="","", D116="A","NW", D116="B","NE", D116="C","SW", D116="D","SE",D116="Omit", "")</x:f>
      </x:c>
      <x:c r="D116" s="60"/>
      <x:c r="E116" s="61" t="str">
        <x:f t="shared" si="1"/>
      </x:c>
      <x:c r="F116" s="67"/>
      <x:c r="G116" s="72"/>
      <x:c r="H116" s="61" t="str">
        <x:f t="array" ref="H116">IF($G116="","",TEXTJOIN("",TRUE,MID($B116,MID($G116,SEQUENCE(LEN($G116),1),1)+0,1)))</x:f>
      </x:c>
      <x:c r="I116" s="72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>
      <x:c r="A117" s="47">
        <x:v>108.0</x:v>
      </x:c>
      <x:c r="B117" s="47" t="s">
        <x:v>158</x:v>
      </x:c>
      <x:c r="C117" s="48" t="str">
        <x:f t="array" ref="C117">IFS(D117="","", D117="A","SE", D117="B","NW", D117="C","NE", D117="D","SW",D117="Omit", "")</x:f>
      </x:c>
      <x:c r="D117" s="60"/>
      <x:c r="E117" s="61" t="str">
        <x:f t="shared" si="1"/>
      </x:c>
      <x:c r="F117" s="67"/>
      <x:c r="G117" s="72"/>
      <x:c r="H117" s="61" t="str">
        <x:f t="array" ref="H117">IF($G117="","",TEXTJOIN("",TRUE,MID($B117,MID($G117,SEQUENCE(LEN($G117),1),1)+0,1)))</x:f>
      </x:c>
      <x:c r="I117" s="72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>
      <x:c r="A118" s="47">
        <x:v>109.0</x:v>
      </x:c>
      <x:c r="B118" s="47" t="s">
        <x:v>149</x:v>
      </x:c>
      <x:c r="C118" s="48" t="str">
        <x:f t="array" ref="C118">IFS(D118="","", D118="A","SW", D118="B","SE", D118="C","NW", D118="D","NE",D118="Omit", "")</x:f>
      </x:c>
      <x:c r="D118" s="60"/>
      <x:c r="E118" s="61" t="str">
        <x:f t="shared" si="1"/>
      </x:c>
      <x:c r="F118" s="67"/>
      <x:c r="G118" s="72"/>
      <x:c r="H118" s="61" t="str">
        <x:f t="array" ref="H118">IF($G118="","",TEXTJOIN("",TRUE,MID($B118,MID($G118,SEQUENCE(LEN($G118),1),1)+0,1)))</x:f>
      </x:c>
      <x:c r="I118" s="72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>
      <x:c r="A119" s="47">
        <x:v>110.0</x:v>
      </x:c>
      <x:c r="B119" s="47" t="s">
        <x:v>152</x:v>
      </x:c>
      <x:c r="C119" s="48" t="str">
        <x:f t="array" ref="C119">IFS(D119="","", D119="A","NE", D119="B","SW", D119="C","SE", D119="D","NW",D119="Omit", "")</x:f>
      </x:c>
      <x:c r="D119" s="60"/>
      <x:c r="E119" s="61" t="str">
        <x:f t="shared" si="1"/>
      </x:c>
      <x:c r="F119" s="67"/>
      <x:c r="G119" s="72"/>
      <x:c r="H119" s="61" t="str">
        <x:f t="array" ref="H119">IF($G119="","",TEXTJOIN("",TRUE,MID($B119,MID($G119,SEQUENCE(LEN($G119),1),1)+0,1)))</x:f>
      </x:c>
      <x:c r="I119" s="72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>
      <x:c r="A120" s="47">
        <x:v>111.0</x:v>
      </x:c>
      <x:c r="B120" s="47" t="s">
        <x:v>155</x:v>
      </x:c>
      <x:c r="C120" s="48" t="str">
        <x:f t="array" ref="C120">IFS(D120="","", D120="A","NW", D120="B","NE", D120="C","SW", D120="D","SE",D120="Omit", "")</x:f>
      </x:c>
      <x:c r="D120" s="60"/>
      <x:c r="E120" s="61" t="str">
        <x:f t="shared" si="1"/>
      </x:c>
      <x:c r="F120" s="67"/>
      <x:c r="G120" s="72"/>
      <x:c r="H120" s="61" t="str">
        <x:f t="array" ref="H120">IF($G120="","",TEXTJOIN("",TRUE,MID($B120,MID($G120,SEQUENCE(LEN($G120),1),1)+0,1)))</x:f>
      </x:c>
      <x:c r="I120" s="72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>
      <x:c r="A121" s="47">
        <x:v>112.0</x:v>
      </x:c>
      <x:c r="B121" s="47" t="s">
        <x:v>158</x:v>
      </x:c>
      <x:c r="C121" s="48" t="str">
        <x:f t="array" ref="C121">IFS(D121="","", D121="A","SE", D121="B","NW", D121="C","NE", D121="D","SW",D121="Omit", "")</x:f>
      </x:c>
      <x:c r="D121" s="60"/>
      <x:c r="E121" s="61" t="str">
        <x:f t="shared" si="1"/>
      </x:c>
      <x:c r="F121" s="67"/>
      <x:c r="G121" s="72"/>
      <x:c r="H121" s="61" t="str">
        <x:f t="array" ref="H121">IF($G121="","",TEXTJOIN("",TRUE,MID($B121,MID($G121,SEQUENCE(LEN($G121),1),1)+0,1)))</x:f>
      </x:c>
      <x:c r="I121" s="72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>
      <x:c r="A122" s="47">
        <x:v>113.0</x:v>
      </x:c>
      <x:c r="B122" s="47" t="s">
        <x:v>149</x:v>
      </x:c>
      <x:c r="C122" s="48" t="str">
        <x:f t="array" ref="C122">IFS(D122="","", D122="A","SW", D122="B","SE", D122="C","NW", D122="D","NE",D122="Omit", "")</x:f>
      </x:c>
      <x:c r="D122" s="60"/>
      <x:c r="E122" s="61" t="str">
        <x:f t="shared" si="1"/>
      </x:c>
      <x:c r="F122" s="67"/>
      <x:c r="G122" s="72"/>
      <x:c r="H122" s="61" t="str">
        <x:f t="array" ref="H122">IF($G122="","",TEXTJOIN("",TRUE,MID($B122,MID($G122,SEQUENCE(LEN($G122),1),1)+0,1)))</x:f>
      </x:c>
      <x:c r="I122" s="72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>
      <x:c r="A123" s="47">
        <x:v>114.0</x:v>
      </x:c>
      <x:c r="B123" s="47" t="s">
        <x:v>152</x:v>
      </x:c>
      <x:c r="C123" s="48" t="str">
        <x:f t="array" ref="C123">IFS(D123="","", D123="A","NE", D123="B","SW", D123="C","SE", D123="D","NW",D123="Omit", "")</x:f>
      </x:c>
      <x:c r="D123" s="60"/>
      <x:c r="E123" s="61" t="str">
        <x:f t="shared" si="1"/>
      </x:c>
      <x:c r="F123" s="67"/>
      <x:c r="G123" s="72"/>
      <x:c r="H123" s="61" t="str">
        <x:f t="array" ref="H123">IF($G123="","",TEXTJOIN("",TRUE,MID($B123,MID($G123,SEQUENCE(LEN($G123),1),1)+0,1)))</x:f>
      </x:c>
      <x:c r="I123" s="72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>
      <x:c r="A124" s="47">
        <x:v>115.0</x:v>
      </x:c>
      <x:c r="B124" s="47" t="s">
        <x:v>155</x:v>
      </x:c>
      <x:c r="C124" s="48" t="str">
        <x:f t="array" ref="C124">IFS(D124="","", D124="A","NW", D124="B","NE", D124="C","SW", D124="D","SE",D124="Omit", "")</x:f>
      </x:c>
      <x:c r="D124" s="60"/>
      <x:c r="E124" s="61" t="str">
        <x:f t="shared" si="1"/>
      </x:c>
      <x:c r="F124" s="67"/>
      <x:c r="G124" s="72"/>
      <x:c r="H124" s="61" t="str">
        <x:f t="array" ref="H124">IF($G124="","",TEXTJOIN("",TRUE,MID($B124,MID($G124,SEQUENCE(LEN($G124),1),1)+0,1)))</x:f>
      </x:c>
      <x:c r="I124" s="72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>
      <x:c r="A125" s="47">
        <x:v>116.0</x:v>
      </x:c>
      <x:c r="B125" s="47" t="s">
        <x:v>158</x:v>
      </x:c>
      <x:c r="C125" s="48" t="str">
        <x:f t="array" ref="C125">IFS(D125="","", D125="A","SE", D125="B","NW", D125="C","NE", D125="D","SW",D125="Omit", "")</x:f>
      </x:c>
      <x:c r="D125" s="60"/>
      <x:c r="E125" s="61" t="str">
        <x:f t="shared" si="1"/>
      </x:c>
      <x:c r="F125" s="67"/>
      <x:c r="G125" s="72"/>
      <x:c r="H125" s="61" t="str">
        <x:f t="array" ref="H125">IF($G125="","",TEXTJOIN("",TRUE,MID($B125,MID($G125,SEQUENCE(LEN($G125),1),1)+0,1)))</x:f>
      </x:c>
      <x:c r="I125" s="72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>
      <x:c r="A126" s="47">
        <x:v>117.0</x:v>
      </x:c>
      <x:c r="B126" s="47" t="s">
        <x:v>149</x:v>
      </x:c>
      <x:c r="C126" s="48" t="str">
        <x:f t="array" ref="C126">IFS(D126="","", D126="A","SW", D126="B","SE", D126="C","NW", D126="D","NE",D126="Omit", "")</x:f>
      </x:c>
      <x:c r="D126" s="60"/>
      <x:c r="E126" s="61" t="str">
        <x:f t="shared" si="1"/>
      </x:c>
      <x:c r="F126" s="67"/>
      <x:c r="G126" s="72"/>
      <x:c r="H126" s="61" t="str">
        <x:f t="array" ref="H126">IF($G126="","",TEXTJOIN("",TRUE,MID($B126,MID($G126,SEQUENCE(LEN($G126),1),1)+0,1)))</x:f>
      </x:c>
      <x:c r="I126" s="72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>
      <x:c r="A127" s="47">
        <x:v>118.0</x:v>
      </x:c>
      <x:c r="B127" s="47" t="s">
        <x:v>152</x:v>
      </x:c>
      <x:c r="C127" s="48" t="str">
        <x:f t="array" ref="C127">IFS(D127="","", D127="A","NE", D127="B","SW", D127="C","SE", D127="D","NW",D127="Omit", "")</x:f>
      </x:c>
      <x:c r="D127" s="60"/>
      <x:c r="E127" s="61" t="str">
        <x:f t="shared" si="1"/>
      </x:c>
      <x:c r="F127" s="67"/>
      <x:c r="G127" s="72"/>
      <x:c r="H127" s="61" t="str">
        <x:f t="array" ref="H127">IF($G127="","",TEXTJOIN("",TRUE,MID($B127,MID($G127,SEQUENCE(LEN($G127),1),1)+0,1)))</x:f>
      </x:c>
      <x:c r="I127" s="72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>
      <x:c r="A128" s="47">
        <x:v>119.0</x:v>
      </x:c>
      <x:c r="B128" s="47" t="s">
        <x:v>155</x:v>
      </x:c>
      <x:c r="C128" s="48" t="str">
        <x:f t="array" ref="C128">IFS(D128="","", D128="A","NW", D128="B","NE", D128="C","SW", D128="D","SE",D128="Omit", "")</x:f>
      </x:c>
      <x:c r="D128" s="60"/>
      <x:c r="E128" s="61" t="str">
        <x:f t="shared" si="1"/>
      </x:c>
      <x:c r="F128" s="67"/>
      <x:c r="G128" s="72"/>
      <x:c r="H128" s="61" t="str">
        <x:f t="array" ref="H128">IF($G128="","",TEXTJOIN("",TRUE,MID($B128,MID($G128,SEQUENCE(LEN($G128),1),1)+0,1)))</x:f>
      </x:c>
      <x:c r="I128" s="72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>
      <x:c r="A129" s="47">
        <x:v>120.0</x:v>
      </x:c>
      <x:c r="B129" s="47" t="s">
        <x:v>158</x:v>
      </x:c>
      <x:c r="C129" s="48" t="str">
        <x:f t="array" ref="C129">IFS(D129="","", D129="A","SE", D129="B","NW", D129="C","NE", D129="D","SW",D129="Omit", "")</x:f>
      </x:c>
      <x:c r="D129" s="60"/>
      <x:c r="E129" s="61" t="str">
        <x:f t="shared" si="1"/>
      </x:c>
      <x:c r="F129" s="67"/>
      <x:c r="G129" s="72"/>
      <x:c r="H129" s="61" t="str">
        <x:f t="array" ref="H129">IF($G129="","",TEXTJOIN("",TRUE,MID($B129,MID($G129,SEQUENCE(LEN($G129),1),1)+0,1)))</x:f>
      </x:c>
      <x:c r="I129" s="72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5" customWidth="1"/>
    <x:col min="9" max="9" width="18.8799991607666" customWidth="1"/>
  </x:cols>
  <x:sheetData>
    <x:row r="1" ht="30" customHeight="1">
      <x:c r="A1" s="3" t="s">
        <x:v>197</x:v>
      </x:c>
      <x:c r="B1" s="2"/>
      <x:c r="C1" s="2"/>
      <x:c r="D1" s="2"/>
      <x:c r="E1" s="2"/>
      <x:c r="F1" s="2"/>
      <x:c r="G1" s="2"/>
      <x:c r="H1" s="2"/>
      <x:c r="I1" s="2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80</x:v>
      </x:c>
      <x:c r="B3" s="6" t="s">
        <x:v>81</x:v>
      </x:c>
      <x:c r="C3" s="5" t="s">
        <x:v>82</x:v>
      </x:c>
      <x:c r="D3" s="41">
        <x:v>0.6319444444444444</x:v>
      </x:c>
      <x:c r="E3" s="5" t="s">
        <x:v>83</x:v>
      </x:c>
      <x:c r="F3" s="13" t="str">
        <x:f>IF(D3="","","ZT " &amp; TEXT(MOD(D3-METADATA!$B$19,1),"hh:mm"))</x:f>
        <x:v>ZT 17:10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84</x:v>
      </x:c>
      <x:c r="B4" s="12">
        <x:v>46262.0</x:v>
      </x:c>
      <x:c r="C4" s="5" t="s">
        <x:v>85</x:v>
      </x:c>
      <x:c r="D4" s="41">
        <x:v>0.65625</x:v>
      </x:c>
      <x:c r="E4" s="5" t="s">
        <x:v>86</x:v>
      </x:c>
      <x:c r="F4" s="13" t="str">
        <x:f>IF(D4="","","ZT " &amp; TEXT(MOD(D4-METADATA!$B$19,1),"hh:mm"))</x:f>
        <x:v>ZT 17:45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42" t="s">
        <x:v>133</x:v>
      </x:c>
      <x:c r="B6" s="43" t="s">
        <x:v>134</x:v>
      </x:c>
      <x:c r="C6" s="4"/>
      <x:c r="D6" s="42" t="s">
        <x:v>135</x:v>
      </x:c>
      <x:c r="E6" s="43" t="s">
        <x:v>136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42" t="s">
        <x:v>137</x:v>
      </x:c>
      <x:c r="B7" s="52" t="s">
        <x:v>138</x:v>
      </x:c>
      <x:c r="C7" s="52" t="s">
        <x:v>139</x:v>
      </x:c>
      <x:c r="D7" s="52" t="s">
        <x:v>140</x:v>
      </x:c>
      <x:c r="E7" s="52" t="s">
        <x:v>141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30" customHeight="1">
      <x:c r="A9" s="44" t="s">
        <x:v>114</x:v>
      </x:c>
      <x:c r="B9" s="45" t="s">
        <x:v>142</x:v>
      </x:c>
      <x:c r="C9" s="46" t="s">
        <x:v>143</x:v>
      </x:c>
      <x:c r="D9" s="44" t="s">
        <x:v>144</x:v>
      </x:c>
      <x:c r="E9" s="44" t="s">
        <x:v>145</x:v>
      </x:c>
      <x:c r="F9" s="44" t="s">
        <x:v>146</x:v>
      </x:c>
      <x:c r="G9" s="53" t="s">
        <x:v>147</x:v>
      </x:c>
      <x:c r="H9" s="53" t="s">
        <x:v>148</x:v>
      </x:c>
      <x:c r="I9" s="44" t="s">
        <x:v>94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47">
        <x:v>1.0</x:v>
      </x:c>
      <x:c r="B10" s="47" t="s">
        <x:v>149</x:v>
      </x:c>
      <x:c r="C10" s="48" t="str">
        <x:f t="array" ref="C10">IFS(D10="","", D10="A","NW", D10="B","NE", D10="C","SW", D10="D","SE",D10="Omit", "")</x:f>
      </x:c>
      <x:c r="D10" s="6" t="s">
        <x:v>150</x:v>
      </x:c>
      <x:c r="E10" s="49" t="str">
        <x:f t="shared" ref="E10:E129" si="1">IF(D10="","",IF(D10="A","Correct","Incorrect"))</x:f>
        <x:v>Incorrect</x:v>
      </x:c>
      <x:c r="F10" s="31">
        <x:v>180.0</x:v>
      </x:c>
      <x:c r="G10" s="51" t="s">
        <x:v>198</x:v>
      </x:c>
      <x:c r="H10" s="29" t="str">
        <x:f t="array" ref="H10">IF($G10="","",TEXTJOIN("",TRUE,MID($B10,MID($G10,SEQUENCE(LEN($G10),1),1)+0,1)))</x:f>
        <x:v>Error: #VALUE!</x:v>
      </x:c>
      <x:c r="I10" s="55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47">
        <x:v>2.0</x:v>
      </x:c>
      <x:c r="B11" s="47" t="s">
        <x:v>152</x:v>
      </x:c>
      <x:c r="C11" s="48" t="str">
        <x:f t="array" ref="C11">IFS(D11="","", D11="A","SE", D11="B","NW", D11="C","NE", D11="D","SW",D11="Omit", "")</x:f>
        <x:v>SE</x:v>
      </x:c>
      <x:c r="D11" s="6" t="s">
        <x:v>161</x:v>
      </x:c>
      <x:c r="E11" s="56" t="str">
        <x:f t="shared" si="1"/>
        <x:v>Correct</x:v>
      </x:c>
      <x:c r="F11" s="31">
        <x:v>75.0</x:v>
      </x:c>
      <x:c r="G11" s="51" t="s">
        <x:v>199</x:v>
      </x:c>
      <x:c r="H11" s="29" t="str">
        <x:f t="array" ref="H11">IF($G11="","",TEXTJOIN("",TRUE,MID($B11,MID($G11,SEQUENCE(LEN($G11),1),1)+0,1)))</x:f>
        <x:v>Error: #VALUE!</x:v>
      </x:c>
      <x:c r="I11" s="55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47">
        <x:v>3.0</x:v>
      </x:c>
      <x:c r="B12" s="47" t="s">
        <x:v>155</x:v>
      </x:c>
      <x:c r="C12" s="48" t="str">
        <x:f t="array" ref="C12">IFS(D12="","", D12="A","SW", D12="B","SE", D12="C","NW", D12="D","NE",D12="Omit", "")</x:f>
        <x:v>SW</x:v>
      </x:c>
      <x:c r="D12" s="6" t="s">
        <x:v>161</x:v>
      </x:c>
      <x:c r="E12" s="56" t="str">
        <x:f t="shared" si="1"/>
        <x:v>Correct</x:v>
      </x:c>
      <x:c r="F12" s="31">
        <x:v>96.0</x:v>
      </x:c>
      <x:c r="G12" s="51" t="s">
        <x:v>200</x:v>
      </x:c>
      <x:c r="H12" s="29" t="str">
        <x:f t="array" ref="H12">IF($G12="","",TEXTJOIN("",TRUE,MID($B12,MID($G12,SEQUENCE(LEN($G12),1),1)+0,1)))</x:f>
        <x:v>Error: #VALUE!</x:v>
      </x:c>
      <x:c r="I12" s="55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47">
        <x:v>4.0</x:v>
      </x:c>
      <x:c r="B13" s="47" t="s">
        <x:v>158</x:v>
      </x:c>
      <x:c r="C13" s="48" t="str">
        <x:f t="array" ref="C13">IFS(D13="","", D13="A","NE", D13="B","SW", D13="C","SE", D13="D","NW",D13="Omit", "")</x:f>
        <x:v>NE</x:v>
      </x:c>
      <x:c r="D13" s="6" t="s">
        <x:v>161</x:v>
      </x:c>
      <x:c r="E13" s="56" t="str">
        <x:f t="shared" si="1"/>
        <x:v>Correct</x:v>
      </x:c>
      <x:c r="F13" s="31">
        <x:v>65.0</x:v>
      </x:c>
      <x:c r="G13" s="51" t="s">
        <x:v>201</x:v>
      </x:c>
      <x:c r="H13" s="29" t="str">
        <x:f t="array" ref="H13">IF($G13="","",TEXTJOIN("",TRUE,MID($B13,MID($G13,SEQUENCE(LEN($G13),1),1)+0,1)))</x:f>
        <x:v>Error: #VALUE!</x:v>
      </x:c>
      <x:c r="I13" s="55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47">
        <x:v>5.0</x:v>
      </x:c>
      <x:c r="B14" s="47" t="s">
        <x:v>149</x:v>
      </x:c>
      <x:c r="C14" s="48" t="str">
        <x:f t="array" ref="C14">IFS(D14="","", D14="A","NW", D14="B","NE", D14="C","SW", D14="D","SE",D14="Omit", "")</x:f>
        <x:v>NW</x:v>
      </x:c>
      <x:c r="D14" s="6" t="s">
        <x:v>161</x:v>
      </x:c>
      <x:c r="E14" s="56" t="str">
        <x:f t="shared" si="1"/>
        <x:v>Correct</x:v>
      </x:c>
      <x:c r="F14" s="31">
        <x:v>112.0</x:v>
      </x:c>
      <x:c r="G14" s="51" t="s">
        <x:v>202</x:v>
      </x:c>
      <x:c r="H14" s="29" t="str">
        <x:f t="array" ref="H14">IF($G14="","",TEXTJOIN("",TRUE,MID($B14,MID($G14,SEQUENCE(LEN($G14),1),1)+0,1)))</x:f>
        <x:v>Error: #VALUE!</x:v>
      </x:c>
      <x:c r="I14" s="55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47">
        <x:v>6.0</x:v>
      </x:c>
      <x:c r="B15" s="47" t="s">
        <x:v>152</x:v>
      </x:c>
      <x:c r="C15" s="48" t="str">
        <x:f t="array" ref="C15">IFS(D15="","", D15="A","SE", D15="B","NW", D15="C","NE", D15="D","SW",D15="Omit", "")</x:f>
        <x:v>SE</x:v>
      </x:c>
      <x:c r="D15" s="6" t="s">
        <x:v>161</x:v>
      </x:c>
      <x:c r="E15" s="56" t="str">
        <x:f t="shared" si="1"/>
        <x:v>Correct</x:v>
      </x:c>
      <x:c r="F15" s="31">
        <x:v>10.0</x:v>
      </x:c>
      <x:c r="G15" s="51" t="s">
        <x:v>203</x:v>
      </x:c>
      <x:c r="H15" s="29" t="str">
        <x:f t="array" ref="H15">IF($G15="","",TEXTJOIN("",TRUE,MID($B15,MID($G15,SEQUENCE(LEN($G15),1),1)+0,1)))</x:f>
        <x:v>Error: #VALUE!</x:v>
      </x:c>
      <x:c r="I15" s="55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47">
        <x:v>7.0</x:v>
      </x:c>
      <x:c r="B16" s="47" t="s">
        <x:v>155</x:v>
      </x:c>
      <x:c r="C16" s="48" t="str">
        <x:f t="array" ref="C16">IFS(D16="","", D16="A","SW", D16="B","SE", D16="C","NW", D16="D","NE",D16="Omit", "")</x:f>
        <x:v>SW</x:v>
      </x:c>
      <x:c r="D16" s="6" t="s">
        <x:v>161</x:v>
      </x:c>
      <x:c r="E16" s="56" t="str">
        <x:f t="shared" si="1"/>
        <x:v>Correct</x:v>
      </x:c>
      <x:c r="F16" s="31">
        <x:v>29.0</x:v>
      </x:c>
      <x:c r="G16" s="51" t="s">
        <x:v>204</x:v>
      </x:c>
      <x:c r="H16" s="29" t="str">
        <x:f t="array" ref="H16">IF($G16="","",TEXTJOIN("",TRUE,MID($B16,MID($G16,SEQUENCE(LEN($G16),1),1)+0,1)))</x:f>
        <x:v>Error: #VALUE!</x:v>
      </x:c>
      <x:c r="I16" s="55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47">
        <x:v>8.0</x:v>
      </x:c>
      <x:c r="B17" s="47" t="s">
        <x:v>158</x:v>
      </x:c>
      <x:c r="C17" s="48" t="str">
        <x:f t="array" ref="C17">IFS(D17="","", D17="A","NE", D17="B","SW", D17="C","SE", D17="D","NW",D17="Omit", "")</x:f>
        <x:v>NE</x:v>
      </x:c>
      <x:c r="D17" s="6" t="s">
        <x:v>161</x:v>
      </x:c>
      <x:c r="E17" s="56" t="str">
        <x:f t="shared" si="1"/>
        <x:v>Correct</x:v>
      </x:c>
      <x:c r="F17" s="31">
        <x:v>47.0</x:v>
      </x:c>
      <x:c r="G17" s="51" t="s">
        <x:v>205</x:v>
      </x:c>
      <x:c r="H17" s="29" t="str">
        <x:f t="array" ref="H17">IF($G17="","",TEXTJOIN("",TRUE,MID($B17,MID($G17,SEQUENCE(LEN($G17),1),1)+0,1)))</x:f>
        <x:v>Error: #VALUE!</x:v>
      </x:c>
      <x:c r="I17" s="55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47">
        <x:v>9.0</x:v>
      </x:c>
      <x:c r="B18" s="47" t="s">
        <x:v>149</x:v>
      </x:c>
      <x:c r="C18" s="48" t="str">
        <x:f t="array" ref="C18">IFS(D18="","", D18="A","NW", D18="B","NE", D18="C","SW", D18="D","SE",D18="Omit", "")</x:f>
        <x:v>NW</x:v>
      </x:c>
      <x:c r="D18" s="6" t="s">
        <x:v>161</x:v>
      </x:c>
      <x:c r="E18" s="56" t="str">
        <x:f t="shared" si="1"/>
        <x:v>Correct</x:v>
      </x:c>
      <x:c r="F18" s="31">
        <x:v>20.0</x:v>
      </x:c>
      <x:c r="G18" s="51" t="s">
        <x:v>206</x:v>
      </x:c>
      <x:c r="H18" s="29" t="str">
        <x:f t="array" ref="H18">IF($G18="","",TEXTJOIN("",TRUE,MID($B18,MID($G18,SEQUENCE(LEN($G18),1),1)+0,1)))</x:f>
        <x:v>Error: #VALUE!</x:v>
      </x:c>
      <x:c r="I18" s="55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47">
        <x:v>10.0</x:v>
      </x:c>
      <x:c r="B19" s="47" t="s">
        <x:v>152</x:v>
      </x:c>
      <x:c r="C19" s="48" t="str">
        <x:f t="array" ref="C19">IFS(D19="","", D19="A","SE", D19="B","NW", D19="C","NE", D19="D","SW",D19="Omit", "")</x:f>
        <x:v>SE</x:v>
      </x:c>
      <x:c r="D19" s="6" t="s">
        <x:v>161</x:v>
      </x:c>
      <x:c r="E19" s="56" t="str">
        <x:f t="shared" si="1"/>
        <x:v>Correct</x:v>
      </x:c>
      <x:c r="F19" s="31">
        <x:v>65.0</x:v>
      </x:c>
      <x:c r="G19" s="51" t="s">
        <x:v>207</x:v>
      </x:c>
      <x:c r="H19" s="29" t="str">
        <x:f t="array" ref="H19">IF($G19="","",TEXTJOIN("",TRUE,MID($B19,MID($G19,SEQUENCE(LEN($G19),1),1)+0,1)))</x:f>
        <x:v>Error: #VALUE!</x:v>
      </x:c>
      <x:c r="I19" s="55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47">
        <x:v>11.0</x:v>
      </x:c>
      <x:c r="B20" s="47" t="s">
        <x:v>155</x:v>
      </x:c>
      <x:c r="C20" s="48" t="str">
        <x:f t="array" ref="C20">IFS(D20="","", D20="A","SW", D20="B","SE", D20="C","NW", D20="D","NE",D20="Omit", "")</x:f>
        <x:v>NE</x:v>
      </x:c>
      <x:c r="D20" s="6" t="s">
        <x:v>159</x:v>
      </x:c>
      <x:c r="E20" s="49" t="str">
        <x:f t="shared" si="1"/>
        <x:v>Incorrect</x:v>
      </x:c>
      <x:c r="F20" s="31">
        <x:v>8.0</x:v>
      </x:c>
      <x:c r="G20" s="51" t="s">
        <x:v>183</x:v>
      </x:c>
      <x:c r="H20" s="29" t="str">
        <x:f t="array" ref="H20">IF($G20="","",TEXTJOIN("",TRUE,MID($B20,MID($G20,SEQUENCE(LEN($G20),1),1)+0,1)))</x:f>
        <x:v>D</x:v>
      </x:c>
      <x:c r="I20" s="55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47">
        <x:v>12.0</x:v>
      </x:c>
      <x:c r="B21" s="47" t="s">
        <x:v>158</x:v>
      </x:c>
      <x:c r="C21" s="48" t="str">
        <x:f t="array" ref="C21">IFS(D21="","", D21="A","NE", D21="B","SW", D21="C","SE", D21="D","NW",D21="Omit", "")</x:f>
      </x:c>
      <x:c r="D21" s="60"/>
      <x:c r="E21" s="61" t="str">
        <x:f t="shared" si="1"/>
      </x:c>
      <x:c r="F21" s="62"/>
      <x:c r="G21" s="55"/>
      <x:c r="H21" s="61" t="str">
        <x:f t="array" ref="H21">IF($G21="","",TEXTJOIN("",TRUE,MID($B21,MID($G21,SEQUENCE(LEN($G21),1),1)+0,1)))</x:f>
      </x:c>
      <x:c r="I21" s="55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customHeight="1">
      <x:c r="A22" s="47">
        <x:v>13.0</x:v>
      </x:c>
      <x:c r="B22" s="47" t="s">
        <x:v>149</x:v>
      </x:c>
      <x:c r="C22" s="48" t="str">
        <x:f t="array" ref="C22">IFS(D22="","", D22="A","NW", D22="B","NE", D22="C","SW", D22="D","SE",D22="Omit", "")</x:f>
      </x:c>
      <x:c r="D22" s="60"/>
      <x:c r="E22" s="61" t="str">
        <x:f t="shared" si="1"/>
      </x:c>
      <x:c r="F22" s="62"/>
      <x:c r="G22" s="55"/>
      <x:c r="H22" s="61" t="str">
        <x:f t="array" ref="H22">IF($G22="","",TEXTJOIN("",TRUE,MID($B22,MID($G22,SEQUENCE(LEN($G22),1),1)+0,1)))</x:f>
      </x:c>
      <x:c r="I22" s="55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47">
        <x:v>14.0</x:v>
      </x:c>
      <x:c r="B23" s="47" t="s">
        <x:v>152</x:v>
      </x:c>
      <x:c r="C23" s="48" t="str">
        <x:f t="array" ref="C23">IFS(D23="","", D23="A","SE", D23="B","NW", D23="C","NE", D23="D","SW",D23="Omit", "")</x:f>
      </x:c>
      <x:c r="D23" s="60"/>
      <x:c r="E23" s="61" t="str">
        <x:f t="shared" si="1"/>
      </x:c>
      <x:c r="F23" s="62"/>
      <x:c r="G23" s="55"/>
      <x:c r="H23" s="61" t="str">
        <x:f t="array" ref="H23">IF($G23="","",TEXTJOIN("",TRUE,MID($B23,MID($G23,SEQUENCE(LEN($G23),1),1)+0,1)))</x:f>
      </x:c>
      <x:c r="I23" s="55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47">
        <x:v>15.0</x:v>
      </x:c>
      <x:c r="B24" s="47" t="s">
        <x:v>155</x:v>
      </x:c>
      <x:c r="C24" s="48" t="str">
        <x:f t="array" ref="C24">IFS(D24="","", D24="A","SW", D24="B","SE", D24="C","NW", D24="D","NE",D24="Omit", "")</x:f>
      </x:c>
      <x:c r="D24" s="60"/>
      <x:c r="E24" s="61" t="str">
        <x:f t="shared" si="1"/>
      </x:c>
      <x:c r="F24" s="62"/>
      <x:c r="G24" s="55"/>
      <x:c r="H24" s="61" t="str">
        <x:f t="array" ref="H24">IF($G24="","",TEXTJOIN("",TRUE,MID($B24,MID($G24,SEQUENCE(LEN($G24),1),1)+0,1)))</x:f>
      </x:c>
      <x:c r="I24" s="55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customHeight="1">
      <x:c r="A25" s="47">
        <x:v>16.0</x:v>
      </x:c>
      <x:c r="B25" s="47" t="s">
        <x:v>158</x:v>
      </x:c>
      <x:c r="C25" s="48" t="str">
        <x:f t="array" ref="C25">IFS(D25="","", D25="A","NE", D25="B","SW", D25="C","SE", D25="D","NW",D25="Omit", "")</x:f>
      </x:c>
      <x:c r="D25" s="60"/>
      <x:c r="E25" s="61" t="str">
        <x:f t="shared" si="1"/>
      </x:c>
      <x:c r="F25" s="62"/>
      <x:c r="G25" s="55"/>
      <x:c r="H25" s="61" t="str">
        <x:f t="array" ref="H25">IF($G25="","",TEXTJOIN("",TRUE,MID($B25,MID($G25,SEQUENCE(LEN($G25),1),1)+0,1)))</x:f>
      </x:c>
      <x:c r="I25" s="55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customHeight="1">
      <x:c r="A26" s="47">
        <x:v>17.0</x:v>
      </x:c>
      <x:c r="B26" s="47" t="s">
        <x:v>149</x:v>
      </x:c>
      <x:c r="C26" s="48" t="str">
        <x:f t="array" ref="C26">IFS(D26="","", D26="A","NW", D26="B","NE", D26="C","SW", D26="D","SE",D26="Omit", "")</x:f>
      </x:c>
      <x:c r="D26" s="60"/>
      <x:c r="E26" s="61" t="str">
        <x:f t="shared" si="1"/>
      </x:c>
      <x:c r="F26" s="62"/>
      <x:c r="G26" s="55"/>
      <x:c r="H26" s="61" t="str">
        <x:f t="array" ref="H26">IF($G26="","",TEXTJOIN("",TRUE,MID($B26,MID($G26,SEQUENCE(LEN($G26),1),1)+0,1)))</x:f>
      </x:c>
      <x:c r="I26" s="55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47">
        <x:v>18.0</x:v>
      </x:c>
      <x:c r="B27" s="47" t="s">
        <x:v>152</x:v>
      </x:c>
      <x:c r="C27" s="48" t="str">
        <x:f t="array" ref="C27">IFS(D27="","", D27="A","SE", D27="B","NW", D27="C","NE", D27="D","SW",D27="Omit", "")</x:f>
      </x:c>
      <x:c r="D27" s="60"/>
      <x:c r="E27" s="61" t="str">
        <x:f t="shared" si="1"/>
      </x:c>
      <x:c r="F27" s="62"/>
      <x:c r="G27" s="55"/>
      <x:c r="H27" s="61" t="str">
        <x:f t="array" ref="H27">IF($G27="","",TEXTJOIN("",TRUE,MID($B27,MID($G27,SEQUENCE(LEN($G27),1),1)+0,1)))</x:f>
      </x:c>
      <x:c r="I27" s="55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47">
        <x:v>19.0</x:v>
      </x:c>
      <x:c r="B28" s="47" t="s">
        <x:v>155</x:v>
      </x:c>
      <x:c r="C28" s="48" t="str">
        <x:f t="array" ref="C28">IFS(D28="","", D28="A","SW", D28="B","SE", D28="C","NW", D28="D","NE",D28="Omit", "")</x:f>
      </x:c>
      <x:c r="D28" s="60"/>
      <x:c r="E28" s="61" t="str">
        <x:f t="shared" si="1"/>
      </x:c>
      <x:c r="F28" s="62"/>
      <x:c r="G28" s="55"/>
      <x:c r="H28" s="61" t="str">
        <x:f t="array" ref="H28">IF($G28="","",TEXTJOIN("",TRUE,MID($B28,MID($G28,SEQUENCE(LEN($G28),1),1)+0,1)))</x:f>
      </x:c>
      <x:c r="I28" s="55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47">
        <x:v>20.0</x:v>
      </x:c>
      <x:c r="B29" s="47" t="s">
        <x:v>158</x:v>
      </x:c>
      <x:c r="C29" s="48" t="str">
        <x:f t="array" ref="C29">IFS(D29="","", D29="A","NE", D29="B","SW", D29="C","SE", D29="D","NW",D29="Omit", "")</x:f>
      </x:c>
      <x:c r="D29" s="60"/>
      <x:c r="E29" s="61" t="str">
        <x:f t="shared" si="1"/>
      </x:c>
      <x:c r="F29" s="62"/>
      <x:c r="G29" s="55"/>
      <x:c r="H29" s="61" t="str">
        <x:f t="array" ref="H29">IF($G29="","",TEXTJOIN("",TRUE,MID($B29,MID($G29,SEQUENCE(LEN($G29),1),1)+0,1)))</x:f>
      </x:c>
      <x:c r="I29" s="55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47">
        <x:v>21.0</x:v>
      </x:c>
      <x:c r="B30" s="47" t="s">
        <x:v>149</x:v>
      </x:c>
      <x:c r="C30" s="48" t="str">
        <x:f t="array" ref="C30">IFS(D30="","", D30="A","NW", D30="B","NE", D30="C","SW", D30="D","SE",D30="Omit", "")</x:f>
      </x:c>
      <x:c r="D30" s="60"/>
      <x:c r="E30" s="61" t="str">
        <x:f t="shared" si="1"/>
      </x:c>
      <x:c r="F30" s="62"/>
      <x:c r="G30" s="55"/>
      <x:c r="H30" s="61" t="str">
        <x:f t="array" ref="H30">IF($G30="","",TEXTJOIN("",TRUE,MID($B30,MID($G30,SEQUENCE(LEN($G30),1),1)+0,1)))</x:f>
      </x:c>
      <x:c r="I30" s="55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47">
        <x:v>22.0</x:v>
      </x:c>
      <x:c r="B31" s="47" t="s">
        <x:v>152</x:v>
      </x:c>
      <x:c r="C31" s="48" t="str">
        <x:f t="array" ref="C31">IFS(D31="","", D31="A","SE", D31="B","NW", D31="C","NE", D31="D","SW",D31="Omit", "")</x:f>
      </x:c>
      <x:c r="D31" s="60"/>
      <x:c r="E31" s="61" t="str">
        <x:f t="shared" si="1"/>
      </x:c>
      <x:c r="F31" s="62"/>
      <x:c r="G31" s="55"/>
      <x:c r="H31" s="61" t="str">
        <x:f t="array" ref="H31">IF($G31="","",TEXTJOIN("",TRUE,MID($B31,MID($G31,SEQUENCE(LEN($G31),1),1)+0,1)))</x:f>
      </x:c>
      <x:c r="I31" s="55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4.25" customHeight="1">
      <x:c r="A32" s="47">
        <x:v>23.0</x:v>
      </x:c>
      <x:c r="B32" s="47" t="s">
        <x:v>155</x:v>
      </x:c>
      <x:c r="C32" s="48" t="str">
        <x:f t="array" ref="C32">IFS(D32="","", D32="A","SW", D32="B","SE", D32="C","NW", D32="D","NE",D32="Omit", "")</x:f>
      </x:c>
      <x:c r="D32" s="60"/>
      <x:c r="E32" s="61" t="str">
        <x:f t="shared" si="1"/>
      </x:c>
      <x:c r="F32" s="62"/>
      <x:c r="G32" s="55"/>
      <x:c r="H32" s="61" t="str">
        <x:f t="array" ref="H32">IF($G32="","",TEXTJOIN("",TRUE,MID($B32,MID($G32,SEQUENCE(LEN($G32),1),1)+0,1)))</x:f>
      </x:c>
      <x:c r="I32" s="55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4.25" customHeight="1">
      <x:c r="A33" s="47">
        <x:v>24.0</x:v>
      </x:c>
      <x:c r="B33" s="47" t="s">
        <x:v>158</x:v>
      </x:c>
      <x:c r="C33" s="48" t="str">
        <x:f t="array" ref="C33">IFS(D33="","", D33="A","NE", D33="B","SW", D33="C","SE", D33="D","NW",D33="Omit", "")</x:f>
      </x:c>
      <x:c r="D33" s="60"/>
      <x:c r="E33" s="61" t="str">
        <x:f t="shared" si="1"/>
      </x:c>
      <x:c r="F33" s="62"/>
      <x:c r="G33" s="55"/>
      <x:c r="H33" s="61" t="str">
        <x:f t="array" ref="H33">IF($G33="","",TEXTJOIN("",TRUE,MID($B33,MID($G33,SEQUENCE(LEN($G33),1),1)+0,1)))</x:f>
      </x:c>
      <x:c r="I33" s="55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4.25" customHeight="1">
      <x:c r="A34" s="47">
        <x:v>25.0</x:v>
      </x:c>
      <x:c r="B34" s="47" t="s">
        <x:v>149</x:v>
      </x:c>
      <x:c r="C34" s="48" t="str">
        <x:f t="array" ref="C34">IFS(D34="","", D34="A","NW", D34="B","NE", D34="C","SW", D34="D","SE",D34="Omit", "")</x:f>
      </x:c>
      <x:c r="D34" s="60"/>
      <x:c r="E34" s="61" t="str">
        <x:f t="shared" si="1"/>
      </x:c>
      <x:c r="F34" s="62"/>
      <x:c r="G34" s="55"/>
      <x:c r="H34" s="61" t="str">
        <x:f t="array" ref="H34">IF($G34="","",TEXTJOIN("",TRUE,MID($B34,MID($G34,SEQUENCE(LEN($G34),1),1)+0,1)))</x:f>
      </x:c>
      <x:c r="I34" s="55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4.25" customHeight="1">
      <x:c r="A35" s="47">
        <x:v>26.0</x:v>
      </x:c>
      <x:c r="B35" s="47" t="s">
        <x:v>152</x:v>
      </x:c>
      <x:c r="C35" s="48" t="str">
        <x:f t="array" ref="C35">IFS(D35="","", D35="A","SE", D35="B","NW", D35="C","NE", D35="D","SW",D35="Omit", "")</x:f>
      </x:c>
      <x:c r="D35" s="60"/>
      <x:c r="E35" s="61" t="str">
        <x:f t="shared" si="1"/>
      </x:c>
      <x:c r="F35" s="62"/>
      <x:c r="G35" s="55"/>
      <x:c r="H35" s="61" t="str">
        <x:f t="array" ref="H35">IF($G35="","",TEXTJOIN("",TRUE,MID($B35,MID($G35,SEQUENCE(LEN($G35),1),1)+0,1)))</x:f>
      </x:c>
      <x:c r="I35" s="55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4.25" customHeight="1">
      <x:c r="A36" s="47">
        <x:v>27.0</x:v>
      </x:c>
      <x:c r="B36" s="47" t="s">
        <x:v>155</x:v>
      </x:c>
      <x:c r="C36" s="48" t="str">
        <x:f t="array" ref="C36">IFS(D36="","", D36="A","SW", D36="B","SE", D36="C","NW", D36="D","NE",D36="Omit", "")</x:f>
      </x:c>
      <x:c r="D36" s="60"/>
      <x:c r="E36" s="61" t="str">
        <x:f t="shared" si="1"/>
      </x:c>
      <x:c r="F36" s="62"/>
      <x:c r="G36" s="55"/>
      <x:c r="H36" s="61" t="str">
        <x:f t="array" ref="H36">IF($G36="","",TEXTJOIN("",TRUE,MID($B36,MID($G36,SEQUENCE(LEN($G36),1),1)+0,1)))</x:f>
      </x:c>
      <x:c r="I36" s="55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customHeight="1">
      <x:c r="A37" s="47">
        <x:v>28.0</x:v>
      </x:c>
      <x:c r="B37" s="47" t="s">
        <x:v>158</x:v>
      </x:c>
      <x:c r="C37" s="48" t="str">
        <x:f t="array" ref="C37">IFS(D37="","", D37="A","NE", D37="B","SW", D37="C","SE", D37="D","NW",D37="Omit", "")</x:f>
      </x:c>
      <x:c r="D37" s="60"/>
      <x:c r="E37" s="61" t="str">
        <x:f t="shared" si="1"/>
      </x:c>
      <x:c r="F37" s="62"/>
      <x:c r="G37" s="55"/>
      <x:c r="H37" s="61" t="str">
        <x:f t="array" ref="H37">IF($G37="","",TEXTJOIN("",TRUE,MID($B37,MID($G37,SEQUENCE(LEN($G37),1),1)+0,1)))</x:f>
      </x:c>
      <x:c r="I37" s="55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customHeight="1">
      <x:c r="A38" s="47">
        <x:v>29.0</x:v>
      </x:c>
      <x:c r="B38" s="47" t="s">
        <x:v>149</x:v>
      </x:c>
      <x:c r="C38" s="48" t="str">
        <x:f t="array" ref="C38">IFS(D38="","", D38="A","NW", D38="B","NE", D38="C","SW", D38="D","SE",D38="Omit", "")</x:f>
      </x:c>
      <x:c r="D38" s="60"/>
      <x:c r="E38" s="61" t="str">
        <x:f t="shared" si="1"/>
      </x:c>
      <x:c r="F38" s="62"/>
      <x:c r="G38" s="55"/>
      <x:c r="H38" s="61" t="str">
        <x:f t="array" ref="H38">IF($G38="","",TEXTJOIN("",TRUE,MID($B38,MID($G38,SEQUENCE(LEN($G38),1),1)+0,1)))</x:f>
      </x:c>
      <x:c r="I38" s="55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customHeight="1">
      <x:c r="A39" s="47">
        <x:v>30.0</x:v>
      </x:c>
      <x:c r="B39" s="47" t="s">
        <x:v>152</x:v>
      </x:c>
      <x:c r="C39" s="48" t="str">
        <x:f t="array" ref="C39">IFS(D39="","", D39="A","SE", D39="B","NW", D39="C","NE", D39="D","SW",D39="Omit", "")</x:f>
      </x:c>
      <x:c r="D39" s="60"/>
      <x:c r="E39" s="61" t="str">
        <x:f t="shared" si="1"/>
      </x:c>
      <x:c r="F39" s="62"/>
      <x:c r="G39" s="55"/>
      <x:c r="H39" s="61" t="str">
        <x:f t="array" ref="H39">IF($G39="","",TEXTJOIN("",TRUE,MID($B39,MID($G39,SEQUENCE(LEN($G39),1),1)+0,1)))</x:f>
      </x:c>
      <x:c r="I39" s="55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4.25" customHeight="1">
      <x:c r="A40" s="47">
        <x:v>31.0</x:v>
      </x:c>
      <x:c r="B40" s="47" t="s">
        <x:v>155</x:v>
      </x:c>
      <x:c r="C40" s="48" t="str">
        <x:f t="array" ref="C40">IFS(D40="","", D40="A","NW", D40="B","NE", D40="C","SW", D40="D","SE",D40="Omit", "")</x:f>
      </x:c>
      <x:c r="D40" s="60"/>
      <x:c r="E40" s="61" t="str">
        <x:f t="shared" si="1"/>
      </x:c>
      <x:c r="F40" s="62"/>
      <x:c r="G40" s="55"/>
      <x:c r="H40" s="61" t="str">
        <x:f t="array" ref="H40">IF($G40="","",TEXTJOIN("",TRUE,MID($B40,MID($G40,SEQUENCE(LEN($G40),1),1)+0,1)))</x:f>
      </x:c>
      <x:c r="I40" s="55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customHeight="1">
      <x:c r="A41" s="47">
        <x:v>32.0</x:v>
      </x:c>
      <x:c r="B41" s="47" t="s">
        <x:v>158</x:v>
      </x:c>
      <x:c r="C41" s="48" t="str">
        <x:f t="array" ref="C41">IFS(D41="","", D41="A","SE", D41="B","NW", D41="C","NE", D41="D","SW",D41="Omit", "")</x:f>
      </x:c>
      <x:c r="D41" s="60"/>
      <x:c r="E41" s="61" t="str">
        <x:f t="shared" si="1"/>
      </x:c>
      <x:c r="F41" s="62"/>
      <x:c r="G41" s="55"/>
      <x:c r="H41" s="61" t="str">
        <x:f t="array" ref="H41">IF($G41="","",TEXTJOIN("",TRUE,MID($B41,MID($G41,SEQUENCE(LEN($G41),1),1)+0,1)))</x:f>
      </x:c>
      <x:c r="I41" s="55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customHeight="1">
      <x:c r="A42" s="47">
        <x:v>33.0</x:v>
      </x:c>
      <x:c r="B42" s="47" t="s">
        <x:v>149</x:v>
      </x:c>
      <x:c r="C42" s="48" t="str">
        <x:f t="array" ref="C42">IFS(D42="","", D42="A","SW", D42="B","SE", D42="C","NW", D42="D","NE",D42="Omit", "")</x:f>
      </x:c>
      <x:c r="D42" s="60"/>
      <x:c r="E42" s="61" t="str">
        <x:f t="shared" si="1"/>
      </x:c>
      <x:c r="F42" s="62"/>
      <x:c r="G42" s="55"/>
      <x:c r="H42" s="61" t="str">
        <x:f t="array" ref="H42">IF($G42="","",TEXTJOIN("",TRUE,MID($B42,MID($G42,SEQUENCE(LEN($G42),1),1)+0,1)))</x:f>
      </x:c>
      <x:c r="I42" s="55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4.25" customHeight="1">
      <x:c r="A43" s="47">
        <x:v>34.0</x:v>
      </x:c>
      <x:c r="B43" s="47" t="s">
        <x:v>152</x:v>
      </x:c>
      <x:c r="C43" s="48" t="str">
        <x:f t="array" ref="C43">IFS(D43="","", D43="A","NE", D43="B","SW", D43="C","SE", D43="D","NW",D43="Omit", "")</x:f>
      </x:c>
      <x:c r="D43" s="60"/>
      <x:c r="E43" s="61" t="str">
        <x:f t="shared" si="1"/>
      </x:c>
      <x:c r="F43" s="62"/>
      <x:c r="G43" s="55"/>
      <x:c r="H43" s="61" t="str">
        <x:f t="array" ref="H43">IF($G43="","",TEXTJOIN("",TRUE,MID($B43,MID($G43,SEQUENCE(LEN($G43),1),1)+0,1)))</x:f>
      </x:c>
      <x:c r="I43" s="55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4.25" customHeight="1">
      <x:c r="A44" s="47">
        <x:v>35.0</x:v>
      </x:c>
      <x:c r="B44" s="47" t="s">
        <x:v>155</x:v>
      </x:c>
      <x:c r="C44" s="48" t="str">
        <x:f t="array" ref="C44">IFS(D44="","", D44="A","NW", D44="B","NE", D44="C","SW", D44="D","SE",D44="Omit", "")</x:f>
      </x:c>
      <x:c r="D44" s="60"/>
      <x:c r="E44" s="61" t="str">
        <x:f t="shared" si="1"/>
      </x:c>
      <x:c r="F44" s="62"/>
      <x:c r="G44" s="55"/>
      <x:c r="H44" s="61" t="str">
        <x:f t="array" ref="H44">IF($G44="","",TEXTJOIN("",TRUE,MID($B44,MID($G44,SEQUENCE(LEN($G44),1),1)+0,1)))</x:f>
      </x:c>
      <x:c r="I44" s="55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customHeight="1">
      <x:c r="A45" s="47">
        <x:v>36.0</x:v>
      </x:c>
      <x:c r="B45" s="47" t="s">
        <x:v>158</x:v>
      </x:c>
      <x:c r="C45" s="48" t="str">
        <x:f t="array" ref="C45">IFS(D45="","", D45="A","SE", D45="B","NW", D45="C","NE", D45="D","SW",D45="Omit", "")</x:f>
      </x:c>
      <x:c r="D45" s="60"/>
      <x:c r="E45" s="61" t="str">
        <x:f t="shared" si="1"/>
      </x:c>
      <x:c r="F45" s="62"/>
      <x:c r="G45" s="55"/>
      <x:c r="H45" s="61" t="str">
        <x:f t="array" ref="H45">IF($G45="","",TEXTJOIN("",TRUE,MID($B45,MID($G45,SEQUENCE(LEN($G45),1),1)+0,1)))</x:f>
      </x:c>
      <x:c r="I45" s="55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4.25" customHeight="1">
      <x:c r="A46" s="47">
        <x:v>37.0</x:v>
      </x:c>
      <x:c r="B46" s="47" t="s">
        <x:v>149</x:v>
      </x:c>
      <x:c r="C46" s="48" t="str">
        <x:f t="array" ref="C46">IFS(D46="","", D46="A","SW", D46="B","SE", D46="C","NW", D46="D","NE",D46="Omit", "")</x:f>
      </x:c>
      <x:c r="D46" s="60"/>
      <x:c r="E46" s="61" t="str">
        <x:f t="shared" si="1"/>
      </x:c>
      <x:c r="F46" s="62"/>
      <x:c r="G46" s="55"/>
      <x:c r="H46" s="61" t="str">
        <x:f t="array" ref="H46">IF($G46="","",TEXTJOIN("",TRUE,MID($B46,MID($G46,SEQUENCE(LEN($G46),1),1)+0,1)))</x:f>
      </x:c>
      <x:c r="I46" s="55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4.25" customHeight="1">
      <x:c r="A47" s="47">
        <x:v>38.0</x:v>
      </x:c>
      <x:c r="B47" s="47" t="s">
        <x:v>152</x:v>
      </x:c>
      <x:c r="C47" s="48" t="str">
        <x:f t="array" ref="C47">IFS(D47="","", D47="A","NE", D47="B","SW", D47="C","SE", D47="D","NW",D47="Omit", "")</x:f>
      </x:c>
      <x:c r="D47" s="60"/>
      <x:c r="E47" s="61" t="str">
        <x:f t="shared" si="1"/>
      </x:c>
      <x:c r="F47" s="62"/>
      <x:c r="G47" s="55"/>
      <x:c r="H47" s="61" t="str">
        <x:f t="array" ref="H47">IF($G47="","",TEXTJOIN("",TRUE,MID($B47,MID($G47,SEQUENCE(LEN($G47),1),1)+0,1)))</x:f>
      </x:c>
      <x:c r="I47" s="55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4.25" customHeight="1">
      <x:c r="A48" s="47">
        <x:v>39.0</x:v>
      </x:c>
      <x:c r="B48" s="47" t="s">
        <x:v>155</x:v>
      </x:c>
      <x:c r="C48" s="48" t="str">
        <x:f t="array" ref="C48">IFS(D48="","", D48="A","NW", D48="B","NE", D48="C","SW", D48="D","SE",D48="Omit", "")</x:f>
      </x:c>
      <x:c r="D48" s="60"/>
      <x:c r="E48" s="61" t="str">
        <x:f t="shared" si="1"/>
      </x:c>
      <x:c r="F48" s="62"/>
      <x:c r="G48" s="55"/>
      <x:c r="H48" s="61" t="str">
        <x:f t="array" ref="H48">IF($G48="","",TEXTJOIN("",TRUE,MID($B48,MID($G48,SEQUENCE(LEN($G48),1),1)+0,1)))</x:f>
      </x:c>
      <x:c r="I48" s="55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customHeight="1">
      <x:c r="A49" s="47">
        <x:v>40.0</x:v>
      </x:c>
      <x:c r="B49" s="47" t="s">
        <x:v>158</x:v>
      </x:c>
      <x:c r="C49" s="48" t="str">
        <x:f t="array" ref="C49">IFS(D49="","", D49="A","SE", D49="B","NW", D49="C","NE", D49="D","SW",D49="Omit", "")</x:f>
      </x:c>
      <x:c r="D49" s="60"/>
      <x:c r="E49" s="61" t="str">
        <x:f t="shared" si="1"/>
      </x:c>
      <x:c r="F49" s="62"/>
      <x:c r="G49" s="55"/>
      <x:c r="H49" s="61" t="str">
        <x:f t="array" ref="H49">IF($G49="","",TEXTJOIN("",TRUE,MID($B49,MID($G49,SEQUENCE(LEN($G49),1),1)+0,1)))</x:f>
      </x:c>
      <x:c r="I49" s="55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customHeight="1">
      <x:c r="A50" s="47">
        <x:v>41.0</x:v>
      </x:c>
      <x:c r="B50" s="47" t="s">
        <x:v>149</x:v>
      </x:c>
      <x:c r="C50" s="48" t="str">
        <x:f t="array" ref="C50">IFS(D50="","", D50="A","SW", D50="B","SE", D50="C","NW", D50="D","NE",D50="Omit", "")</x:f>
      </x:c>
      <x:c r="D50" s="60"/>
      <x:c r="E50" s="61" t="str">
        <x:f t="shared" si="1"/>
      </x:c>
      <x:c r="F50" s="62"/>
      <x:c r="G50" s="55"/>
      <x:c r="H50" s="61" t="str">
        <x:f t="array" ref="H50">IF($G50="","",TEXTJOIN("",TRUE,MID($B50,MID($G50,SEQUENCE(LEN($G50),1),1)+0,1)))</x:f>
      </x:c>
      <x:c r="I50" s="55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customHeight="1">
      <x:c r="A51" s="47">
        <x:v>42.0</x:v>
      </x:c>
      <x:c r="B51" s="47" t="s">
        <x:v>152</x:v>
      </x:c>
      <x:c r="C51" s="48" t="str">
        <x:f t="array" ref="C51">IFS(D51="","", D51="A","NE", D51="B","SW", D51="C","SE", D51="D","NW",D51="Omit", "")</x:f>
      </x:c>
      <x:c r="D51" s="60"/>
      <x:c r="E51" s="61" t="str">
        <x:f t="shared" si="1"/>
      </x:c>
      <x:c r="F51" s="62"/>
      <x:c r="G51" s="55"/>
      <x:c r="H51" s="61" t="str">
        <x:f t="array" ref="H51">IF($G51="","",TEXTJOIN("",TRUE,MID($B51,MID($G51,SEQUENCE(LEN($G51),1),1)+0,1)))</x:f>
      </x:c>
      <x:c r="I51" s="55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customHeight="1">
      <x:c r="A52" s="47">
        <x:v>43.0</x:v>
      </x:c>
      <x:c r="B52" s="47" t="s">
        <x:v>155</x:v>
      </x:c>
      <x:c r="C52" s="48" t="str">
        <x:f t="array" ref="C52">IFS(D52="","", D52="A","NW", D52="B","NE", D52="C","SW", D52="D","SE",D52="Omit", "")</x:f>
      </x:c>
      <x:c r="D52" s="60"/>
      <x:c r="E52" s="61" t="str">
        <x:f t="shared" si="1"/>
      </x:c>
      <x:c r="F52" s="62"/>
      <x:c r="G52" s="55"/>
      <x:c r="H52" s="61" t="str">
        <x:f t="array" ref="H52">IF($G52="","",TEXTJOIN("",TRUE,MID($B52,MID($G52,SEQUENCE(LEN($G52),1),1)+0,1)))</x:f>
      </x:c>
      <x:c r="I52" s="55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customHeight="1">
      <x:c r="A53" s="47">
        <x:v>44.0</x:v>
      </x:c>
      <x:c r="B53" s="47" t="s">
        <x:v>158</x:v>
      </x:c>
      <x:c r="C53" s="48" t="str">
        <x:f t="array" ref="C53">IFS(D53="","", D53="A","SE", D53="B","NW", D53="C","NE", D53="D","SW",D53="Omit", "")</x:f>
      </x:c>
      <x:c r="D53" s="60"/>
      <x:c r="E53" s="61" t="str">
        <x:f t="shared" si="1"/>
      </x:c>
      <x:c r="F53" s="62"/>
      <x:c r="G53" s="55"/>
      <x:c r="H53" s="61" t="str">
        <x:f t="array" ref="H53">IF($G53="","",TEXTJOIN("",TRUE,MID($B53,MID($G53,SEQUENCE(LEN($G53),1),1)+0,1)))</x:f>
      </x:c>
      <x:c r="I53" s="55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4.25" customHeight="1">
      <x:c r="A54" s="47">
        <x:v>45.0</x:v>
      </x:c>
      <x:c r="B54" s="47" t="s">
        <x:v>149</x:v>
      </x:c>
      <x:c r="C54" s="48" t="str">
        <x:f t="array" ref="C54">IFS(D54="","", D54="A","SW", D54="B","SE", D54="C","NW", D54="D","NE",D54="Omit", "")</x:f>
      </x:c>
      <x:c r="D54" s="60"/>
      <x:c r="E54" s="61" t="str">
        <x:f t="shared" si="1"/>
      </x:c>
      <x:c r="F54" s="62"/>
      <x:c r="G54" s="55"/>
      <x:c r="H54" s="61" t="str">
        <x:f t="array" ref="H54">IF($G54="","",TEXTJOIN("",TRUE,MID($B54,MID($G54,SEQUENCE(LEN($G54),1),1)+0,1)))</x:f>
      </x:c>
      <x:c r="I54" s="55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4.25" customHeight="1">
      <x:c r="A55" s="47">
        <x:v>46.0</x:v>
      </x:c>
      <x:c r="B55" s="47" t="s">
        <x:v>152</x:v>
      </x:c>
      <x:c r="C55" s="48" t="str">
        <x:f t="array" ref="C55">IFS(D55="","", D55="A","NE", D55="B","SW", D55="C","SE", D55="D","NW",D55="Omit", "")</x:f>
      </x:c>
      <x:c r="D55" s="60"/>
      <x:c r="E55" s="61" t="str">
        <x:f t="shared" si="1"/>
      </x:c>
      <x:c r="F55" s="62"/>
      <x:c r="G55" s="55"/>
      <x:c r="H55" s="61" t="str">
        <x:f t="array" ref="H55">IF($G55="","",TEXTJOIN("",TRUE,MID($B55,MID($G55,SEQUENCE(LEN($G55),1),1)+0,1)))</x:f>
      </x:c>
      <x:c r="I55" s="55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4.25" customHeight="1">
      <x:c r="A56" s="47">
        <x:v>47.0</x:v>
      </x:c>
      <x:c r="B56" s="47" t="s">
        <x:v>155</x:v>
      </x:c>
      <x:c r="C56" s="48" t="str">
        <x:f t="array" ref="C56">IFS(D56="","", D56="A","NW", D56="B","NE", D56="C","SW", D56="D","SE",D56="Omit", "")</x:f>
      </x:c>
      <x:c r="D56" s="60"/>
      <x:c r="E56" s="61" t="str">
        <x:f t="shared" si="1"/>
      </x:c>
      <x:c r="F56" s="62"/>
      <x:c r="G56" s="55"/>
      <x:c r="H56" s="61" t="str">
        <x:f t="array" ref="H56">IF($G56="","",TEXTJOIN("",TRUE,MID($B56,MID($G56,SEQUENCE(LEN($G56),1),1)+0,1)))</x:f>
      </x:c>
      <x:c r="I56" s="55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4.25" customHeight="1">
      <x:c r="A57" s="47">
        <x:v>48.0</x:v>
      </x:c>
      <x:c r="B57" s="47" t="s">
        <x:v>158</x:v>
      </x:c>
      <x:c r="C57" s="48" t="str">
        <x:f t="array" ref="C57">IFS(D57="","", D57="A","SE", D57="B","NW", D57="C","NE", D57="D","SW",D57="Omit", "")</x:f>
      </x:c>
      <x:c r="D57" s="60"/>
      <x:c r="E57" s="61" t="str">
        <x:f t="shared" si="1"/>
      </x:c>
      <x:c r="F57" s="62"/>
      <x:c r="G57" s="55"/>
      <x:c r="H57" s="61" t="str">
        <x:f t="array" ref="H57">IF($G57="","",TEXTJOIN("",TRUE,MID($B57,MID($G57,SEQUENCE(LEN($G57),1),1)+0,1)))</x:f>
      </x:c>
      <x:c r="I57" s="55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4.25" customHeight="1">
      <x:c r="A58" s="47">
        <x:v>49.0</x:v>
      </x:c>
      <x:c r="B58" s="47" t="s">
        <x:v>149</x:v>
      </x:c>
      <x:c r="C58" s="48" t="str">
        <x:f t="array" ref="C58">IFS(D58="","", D58="A","SW", D58="B","SE", D58="C","NW", D58="D","NE",D58="Omit", "")</x:f>
      </x:c>
      <x:c r="D58" s="60"/>
      <x:c r="E58" s="61" t="str">
        <x:f t="shared" si="1"/>
      </x:c>
      <x:c r="F58" s="62"/>
      <x:c r="G58" s="55"/>
      <x:c r="H58" s="61" t="str">
        <x:f t="array" ref="H58">IF($G58="","",TEXTJOIN("",TRUE,MID($B58,MID($G58,SEQUENCE(LEN($G58),1),1)+0,1)))</x:f>
      </x:c>
      <x:c r="I58" s="55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4.25" customHeight="1">
      <x:c r="A59" s="47">
        <x:v>50.0</x:v>
      </x:c>
      <x:c r="B59" s="47" t="s">
        <x:v>152</x:v>
      </x:c>
      <x:c r="C59" s="48" t="str">
        <x:f t="array" ref="C59">IFS(D59="","", D59="A","NE", D59="B","SW", D59="C","SE", D59="D","NW",D59="Omit", "")</x:f>
      </x:c>
      <x:c r="D59" s="60"/>
      <x:c r="E59" s="61" t="str">
        <x:f t="shared" si="1"/>
      </x:c>
      <x:c r="F59" s="62"/>
      <x:c r="G59" s="55"/>
      <x:c r="H59" s="61" t="str">
        <x:f t="array" ref="H59">IF($G59="","",TEXTJOIN("",TRUE,MID($B59,MID($G59,SEQUENCE(LEN($G59),1),1)+0,1)))</x:f>
      </x:c>
      <x:c r="I59" s="55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4.25" customHeight="1">
      <x:c r="A60" s="47">
        <x:v>51.0</x:v>
      </x:c>
      <x:c r="B60" s="47" t="s">
        <x:v>155</x:v>
      </x:c>
      <x:c r="C60" s="48" t="str">
        <x:f t="array" ref="C60">IFS(D60="","", D60="A","NW", D60="B","NE", D60="C","SW", D60="D","SE",D60="Omit", "")</x:f>
      </x:c>
      <x:c r="D60" s="60"/>
      <x:c r="E60" s="61" t="str">
        <x:f t="shared" si="1"/>
      </x:c>
      <x:c r="F60" s="62"/>
      <x:c r="G60" s="55"/>
      <x:c r="H60" s="61" t="str">
        <x:f t="array" ref="H60">IF($G60="","",TEXTJOIN("",TRUE,MID($B60,MID($G60,SEQUENCE(LEN($G60),1),1)+0,1)))</x:f>
      </x:c>
      <x:c r="I60" s="55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4.25" customHeight="1">
      <x:c r="A61" s="47">
        <x:v>52.0</x:v>
      </x:c>
      <x:c r="B61" s="47" t="s">
        <x:v>158</x:v>
      </x:c>
      <x:c r="C61" s="48" t="str">
        <x:f t="array" ref="C61">IFS(D61="","", D61="A","SE", D61="B","NW", D61="C","NE", D61="D","SW",D61="Omit", "")</x:f>
      </x:c>
      <x:c r="D61" s="60"/>
      <x:c r="E61" s="61" t="str">
        <x:f t="shared" si="1"/>
      </x:c>
      <x:c r="F61" s="62"/>
      <x:c r="G61" s="55"/>
      <x:c r="H61" s="61" t="str">
        <x:f t="array" ref="H61">IF($G61="","",TEXTJOIN("",TRUE,MID($B61,MID($G61,SEQUENCE(LEN($G61),1),1)+0,1)))</x:f>
      </x:c>
      <x:c r="I61" s="55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4.25" customHeight="1">
      <x:c r="A62" s="47">
        <x:v>53.0</x:v>
      </x:c>
      <x:c r="B62" s="47" t="s">
        <x:v>149</x:v>
      </x:c>
      <x:c r="C62" s="48" t="str">
        <x:f t="array" ref="C62">IFS(D62="","", D62="A","SW", D62="B","SE", D62="C","NW", D62="D","NE",D62="Omit", "")</x:f>
      </x:c>
      <x:c r="D62" s="60"/>
      <x:c r="E62" s="61" t="str">
        <x:f t="shared" si="1"/>
      </x:c>
      <x:c r="F62" s="62"/>
      <x:c r="G62" s="55"/>
      <x:c r="H62" s="61" t="str">
        <x:f t="array" ref="H62">IF($G62="","",TEXTJOIN("",TRUE,MID($B62,MID($G62,SEQUENCE(LEN($G62),1),1)+0,1)))</x:f>
      </x:c>
      <x:c r="I62" s="55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4.25" customHeight="1">
      <x:c r="A63" s="47">
        <x:v>54.0</x:v>
      </x:c>
      <x:c r="B63" s="47" t="s">
        <x:v>152</x:v>
      </x:c>
      <x:c r="C63" s="48" t="str">
        <x:f t="array" ref="C63">IFS(D63="","", D63="A","NE", D63="B","SW", D63="C","SE", D63="D","NW",D63="Omit", "")</x:f>
      </x:c>
      <x:c r="D63" s="60"/>
      <x:c r="E63" s="61" t="str">
        <x:f t="shared" si="1"/>
      </x:c>
      <x:c r="F63" s="62"/>
      <x:c r="G63" s="55"/>
      <x:c r="H63" s="61" t="str">
        <x:f t="array" ref="H63">IF($G63="","",TEXTJOIN("",TRUE,MID($B63,MID($G63,SEQUENCE(LEN($G63),1),1)+0,1)))</x:f>
      </x:c>
      <x:c r="I63" s="55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4.25" customHeight="1">
      <x:c r="A64" s="47">
        <x:v>55.0</x:v>
      </x:c>
      <x:c r="B64" s="47" t="s">
        <x:v>155</x:v>
      </x:c>
      <x:c r="C64" s="48" t="str">
        <x:f t="array" ref="C64">IFS(D64="","", D64="A","NW", D64="B","NE", D64="C","SW", D64="D","SE",D64="Omit", "")</x:f>
      </x:c>
      <x:c r="D64" s="60"/>
      <x:c r="E64" s="61" t="str">
        <x:f t="shared" si="1"/>
      </x:c>
      <x:c r="F64" s="62"/>
      <x:c r="G64" s="55"/>
      <x:c r="H64" s="61" t="str">
        <x:f t="array" ref="H64">IF($G64="","",TEXTJOIN("",TRUE,MID($B64,MID($G64,SEQUENCE(LEN($G64),1),1)+0,1)))</x:f>
      </x:c>
      <x:c r="I64" s="55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4.25" customHeight="1">
      <x:c r="A65" s="47">
        <x:v>56.0</x:v>
      </x:c>
      <x:c r="B65" s="47" t="s">
        <x:v>158</x:v>
      </x:c>
      <x:c r="C65" s="48" t="str">
        <x:f t="array" ref="C65">IFS(D65="","", D65="A","SE", D65="B","NW", D65="C","NE", D65="D","SW",D65="Omit", "")</x:f>
      </x:c>
      <x:c r="D65" s="60"/>
      <x:c r="E65" s="61" t="str">
        <x:f t="shared" si="1"/>
      </x:c>
      <x:c r="F65" s="62"/>
      <x:c r="G65" s="55"/>
      <x:c r="H65" s="61" t="str">
        <x:f t="array" ref="H65">IF($G65="","",TEXTJOIN("",TRUE,MID($B65,MID($G65,SEQUENCE(LEN($G65),1),1)+0,1)))</x:f>
      </x:c>
      <x:c r="I65" s="55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4.25" customHeight="1">
      <x:c r="A66" s="47">
        <x:v>57.0</x:v>
      </x:c>
      <x:c r="B66" s="47" t="s">
        <x:v>149</x:v>
      </x:c>
      <x:c r="C66" s="48" t="str">
        <x:f t="array" ref="C66">IFS(D66="","", D66="A","SW", D66="B","SE", D66="C","NW", D66="D","NE",D66="Omit", "")</x:f>
      </x:c>
      <x:c r="D66" s="60"/>
      <x:c r="E66" s="61" t="str">
        <x:f t="shared" si="1"/>
      </x:c>
      <x:c r="F66" s="62"/>
      <x:c r="G66" s="55"/>
      <x:c r="H66" s="61" t="str">
        <x:f t="array" ref="H66">IF($G66="","",TEXTJOIN("",TRUE,MID($B66,MID($G66,SEQUENCE(LEN($G66),1),1)+0,1)))</x:f>
      </x:c>
      <x:c r="I66" s="55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4.25" customHeight="1">
      <x:c r="A67" s="47">
        <x:v>58.0</x:v>
      </x:c>
      <x:c r="B67" s="47" t="s">
        <x:v>152</x:v>
      </x:c>
      <x:c r="C67" s="48" t="str">
        <x:f t="array" ref="C67">IFS(D67="","", D67="A","NE", D67="B","SW", D67="C","SE", D67="D","NW",D67="Omit", "")</x:f>
      </x:c>
      <x:c r="D67" s="60"/>
      <x:c r="E67" s="61" t="str">
        <x:f t="shared" si="1"/>
      </x:c>
      <x:c r="F67" s="62"/>
      <x:c r="G67" s="55"/>
      <x:c r="H67" s="61" t="str">
        <x:f t="array" ref="H67">IF($G67="","",TEXTJOIN("",TRUE,MID($B67,MID($G67,SEQUENCE(LEN($G67),1),1)+0,1)))</x:f>
      </x:c>
      <x:c r="I67" s="55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4.25" customHeight="1">
      <x:c r="A68" s="47">
        <x:v>59.0</x:v>
      </x:c>
      <x:c r="B68" s="47" t="s">
        <x:v>155</x:v>
      </x:c>
      <x:c r="C68" s="48" t="str">
        <x:f t="array" ref="C68">IFS(D68="","", D68="A","NW", D68="B","NE", D68="C","SW", D68="D","SE",D68="Omit", "")</x:f>
      </x:c>
      <x:c r="D68" s="60"/>
      <x:c r="E68" s="61" t="str">
        <x:f t="shared" si="1"/>
      </x:c>
      <x:c r="F68" s="62"/>
      <x:c r="G68" s="55"/>
      <x:c r="H68" s="61" t="str">
        <x:f t="array" ref="H68">IF($G68="","",TEXTJOIN("",TRUE,MID($B68,MID($G68,SEQUENCE(LEN($G68),1),1)+0,1)))</x:f>
      </x:c>
      <x:c r="I68" s="55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4.25" customHeight="1">
      <x:c r="A69" s="47">
        <x:v>60.0</x:v>
      </x:c>
      <x:c r="B69" s="47" t="s">
        <x:v>158</x:v>
      </x:c>
      <x:c r="C69" s="48" t="str">
        <x:f t="array" ref="C69">IFS(D69="","", D69="A","SE", D69="B","NW", D69="C","NE", D69="D","SW",D69="Omit", "")</x:f>
      </x:c>
      <x:c r="D69" s="60"/>
      <x:c r="E69" s="61" t="str">
        <x:f t="shared" si="1"/>
      </x:c>
      <x:c r="F69" s="62"/>
      <x:c r="G69" s="55"/>
      <x:c r="H69" s="61" t="str">
        <x:f t="array" ref="H69">IF($G69="","",TEXTJOIN("",TRUE,MID($B69,MID($G69,SEQUENCE(LEN($G69),1),1)+0,1)))</x:f>
      </x:c>
      <x:c r="I69" s="55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4.25" customHeight="1">
      <x:c r="A70" s="47">
        <x:v>61.0</x:v>
      </x:c>
      <x:c r="B70" s="47" t="s">
        <x:v>149</x:v>
      </x:c>
      <x:c r="C70" s="48" t="str">
        <x:f t="array" ref="C70">IFS(D70="","", D70="A","NW", D70="B","NE", D70="C","SW", D70="D","SE",D70="Omit", "")</x:f>
      </x:c>
      <x:c r="D70" s="60"/>
      <x:c r="E70" s="61" t="str">
        <x:f t="shared" si="1"/>
      </x:c>
      <x:c r="F70" s="62"/>
      <x:c r="G70" s="55"/>
      <x:c r="H70" s="61" t="str">
        <x:f t="array" ref="H70">IF($G70="","",TEXTJOIN("",TRUE,MID($B70,MID($G70,SEQUENCE(LEN($G70),1),1)+0,1)))</x:f>
      </x:c>
      <x:c r="I70" s="55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4.25" customHeight="1">
      <x:c r="A71" s="47">
        <x:v>62.0</x:v>
      </x:c>
      <x:c r="B71" s="47" t="s">
        <x:v>152</x:v>
      </x:c>
      <x:c r="C71" s="48" t="str">
        <x:f t="array" ref="C71">IFS(D71="","", D71="A","SE", D71="B","NW", D71="C","NE", D71="D","SW",D71="Omit", "")</x:f>
      </x:c>
      <x:c r="D71" s="60"/>
      <x:c r="E71" s="61" t="str">
        <x:f t="shared" si="1"/>
      </x:c>
      <x:c r="F71" s="62"/>
      <x:c r="G71" s="55"/>
      <x:c r="H71" s="61" t="str">
        <x:f t="array" ref="H71">IF($G71="","",TEXTJOIN("",TRUE,MID($B71,MID($G71,SEQUENCE(LEN($G71),1),1)+0,1)))</x:f>
      </x:c>
      <x:c r="I71" s="55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4.25" customHeight="1">
      <x:c r="A72" s="47">
        <x:v>63.0</x:v>
      </x:c>
      <x:c r="B72" s="47" t="s">
        <x:v>155</x:v>
      </x:c>
      <x:c r="C72" s="48" t="str">
        <x:f t="array" ref="C72">IFS(D72="","", D72="A","SW", D72="B","SE", D72="C","NW", D72="D","NE",D72="Omit", "")</x:f>
      </x:c>
      <x:c r="D72" s="60"/>
      <x:c r="E72" s="61" t="str">
        <x:f t="shared" si="1"/>
      </x:c>
      <x:c r="F72" s="62"/>
      <x:c r="G72" s="55"/>
      <x:c r="H72" s="61" t="str">
        <x:f t="array" ref="H72">IF($G72="","",TEXTJOIN("",TRUE,MID($B72,MID($G72,SEQUENCE(LEN($G72),1),1)+0,1)))</x:f>
      </x:c>
      <x:c r="I72" s="55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4.25" customHeight="1">
      <x:c r="A73" s="47">
        <x:v>64.0</x:v>
      </x:c>
      <x:c r="B73" s="47" t="s">
        <x:v>158</x:v>
      </x:c>
      <x:c r="C73" s="48" t="str">
        <x:f t="array" ref="C73">IFS(D73="","", D73="A","NE", D73="B","SW", D73="C","SE", D73="D","NW",D73="Omit", "")</x:f>
      </x:c>
      <x:c r="D73" s="60"/>
      <x:c r="E73" s="61" t="str">
        <x:f t="shared" si="1"/>
      </x:c>
      <x:c r="F73" s="62"/>
      <x:c r="G73" s="55"/>
      <x:c r="H73" s="61" t="str">
        <x:f t="array" ref="H73">IF($G73="","",TEXTJOIN("",TRUE,MID($B73,MID($G73,SEQUENCE(LEN($G73),1),1)+0,1)))</x:f>
      </x:c>
      <x:c r="I73" s="55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4.25" customHeight="1">
      <x:c r="A74" s="47">
        <x:v>65.0</x:v>
      </x:c>
      <x:c r="B74" s="47" t="s">
        <x:v>149</x:v>
      </x:c>
      <x:c r="C74" s="48" t="str">
        <x:f t="array" ref="C74">IFS(D74="","", D74="A","NW", D74="B","NE", D74="C","SW", D74="D","SE",D74="Omit", "")</x:f>
      </x:c>
      <x:c r="D74" s="60"/>
      <x:c r="E74" s="61" t="str">
        <x:f t="shared" si="1"/>
      </x:c>
      <x:c r="F74" s="62"/>
      <x:c r="G74" s="55"/>
      <x:c r="H74" s="61" t="str">
        <x:f t="array" ref="H74">IF($G74="","",TEXTJOIN("",TRUE,MID($B74,MID($G74,SEQUENCE(LEN($G74),1),1)+0,1)))</x:f>
      </x:c>
      <x:c r="I74" s="55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4.25" customHeight="1">
      <x:c r="A75" s="47">
        <x:v>66.0</x:v>
      </x:c>
      <x:c r="B75" s="47" t="s">
        <x:v>152</x:v>
      </x:c>
      <x:c r="C75" s="48" t="str">
        <x:f t="array" ref="C75">IFS(D75="","", D75="A","SE", D75="B","NW", D75="C","NE", D75="D","SW",D75="Omit", "")</x:f>
      </x:c>
      <x:c r="D75" s="60"/>
      <x:c r="E75" s="61" t="str">
        <x:f t="shared" si="1"/>
      </x:c>
      <x:c r="F75" s="62"/>
      <x:c r="G75" s="55"/>
      <x:c r="H75" s="61" t="str">
        <x:f t="array" ref="H75">IF($G75="","",TEXTJOIN("",TRUE,MID($B75,MID($G75,SEQUENCE(LEN($G75),1),1)+0,1)))</x:f>
      </x:c>
      <x:c r="I75" s="55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4.25" customHeight="1">
      <x:c r="A76" s="47">
        <x:v>67.0</x:v>
      </x:c>
      <x:c r="B76" s="47" t="s">
        <x:v>155</x:v>
      </x:c>
      <x:c r="C76" s="48" t="str">
        <x:f t="array" ref="C76">IFS(D76="","", D76="A","SW", D76="B","SE", D76="C","NW", D76="D","NE",D76="Omit", "")</x:f>
      </x:c>
      <x:c r="D76" s="60"/>
      <x:c r="E76" s="61" t="str">
        <x:f t="shared" si="1"/>
      </x:c>
      <x:c r="F76" s="62"/>
      <x:c r="G76" s="55"/>
      <x:c r="H76" s="61" t="str">
        <x:f t="array" ref="H76">IF($G76="","",TEXTJOIN("",TRUE,MID($B76,MID($G76,SEQUENCE(LEN($G76),1),1)+0,1)))</x:f>
      </x:c>
      <x:c r="I76" s="55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4.25" customHeight="1">
      <x:c r="A77" s="47">
        <x:v>68.0</x:v>
      </x:c>
      <x:c r="B77" s="47" t="s">
        <x:v>158</x:v>
      </x:c>
      <x:c r="C77" s="48" t="str">
        <x:f t="array" ref="C77">IFS(D77="","", D77="A","NE", D77="B","SW", D77="C","SE", D77="D","NW",D77="Omit", "")</x:f>
      </x:c>
      <x:c r="D77" s="60"/>
      <x:c r="E77" s="61" t="str">
        <x:f t="shared" si="1"/>
      </x:c>
      <x:c r="F77" s="62"/>
      <x:c r="G77" s="55"/>
      <x:c r="H77" s="61" t="str">
        <x:f t="array" ref="H77">IF($G77="","",TEXTJOIN("",TRUE,MID($B77,MID($G77,SEQUENCE(LEN($G77),1),1)+0,1)))</x:f>
      </x:c>
      <x:c r="I77" s="55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4.25" customHeight="1">
      <x:c r="A78" s="47">
        <x:v>69.0</x:v>
      </x:c>
      <x:c r="B78" s="47" t="s">
        <x:v>149</x:v>
      </x:c>
      <x:c r="C78" s="48" t="str">
        <x:f t="array" ref="C78">IFS(D78="","", D78="A","NW", D78="B","NE", D78="C","SW", D78="D","SE",D78="Omit", "")</x:f>
      </x:c>
      <x:c r="D78" s="60"/>
      <x:c r="E78" s="61" t="str">
        <x:f t="shared" si="1"/>
      </x:c>
      <x:c r="F78" s="62"/>
      <x:c r="G78" s="55"/>
      <x:c r="H78" s="61" t="str">
        <x:f t="array" ref="H78">IF($G78="","",TEXTJOIN("",TRUE,MID($B78,MID($G78,SEQUENCE(LEN($G78),1),1)+0,1)))</x:f>
      </x:c>
      <x:c r="I78" s="55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4.25" customHeight="1">
      <x:c r="A79" s="47">
        <x:v>70.0</x:v>
      </x:c>
      <x:c r="B79" s="47" t="s">
        <x:v>152</x:v>
      </x:c>
      <x:c r="C79" s="48" t="str">
        <x:f t="array" ref="C79">IFS(D79="","", D79="A","SE", D79="B","NW", D79="C","NE", D79="D","SW",D79="Omit", "")</x:f>
      </x:c>
      <x:c r="D79" s="60"/>
      <x:c r="E79" s="61" t="str">
        <x:f t="shared" si="1"/>
      </x:c>
      <x:c r="F79" s="62"/>
      <x:c r="G79" s="55"/>
      <x:c r="H79" s="61" t="str">
        <x:f t="array" ref="H79">IF($G79="","",TEXTJOIN("",TRUE,MID($B79,MID($G79,SEQUENCE(LEN($G79),1),1)+0,1)))</x:f>
      </x:c>
      <x:c r="I79" s="55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7">
        <x:v>71.0</x:v>
      </x:c>
      <x:c r="B80" s="47" t="s">
        <x:v>155</x:v>
      </x:c>
      <x:c r="C80" s="48" t="str">
        <x:f t="array" ref="C80">IFS(D80="","", D80="A","SW", D80="B","SE", D80="C","NW", D80="D","NE",D80="Omit", "")</x:f>
      </x:c>
      <x:c r="D80" s="60"/>
      <x:c r="E80" s="61" t="str">
        <x:f t="shared" si="1"/>
      </x:c>
      <x:c r="F80" s="72"/>
      <x:c r="G80" s="72"/>
      <x:c r="H80" s="61" t="str">
        <x:f t="array" ref="H80">IF($G80="","",TEXTJOIN("",TRUE,MID($B80,MID($G80,SEQUENCE(LEN($G80),1),1)+0,1)))</x:f>
      </x:c>
      <x:c r="I80" s="72"/>
    </x:row>
    <x:row r="81">
      <x:c r="A81" s="47">
        <x:v>72.0</x:v>
      </x:c>
      <x:c r="B81" s="47" t="s">
        <x:v>158</x:v>
      </x:c>
      <x:c r="C81" s="48" t="str">
        <x:f t="array" ref="C81">IFS(D81="","", D81="A","NE", D81="B","SW", D81="C","SE", D81="D","NW",D81="Omit", "")</x:f>
      </x:c>
      <x:c r="D81" s="60"/>
      <x:c r="E81" s="61" t="str">
        <x:f t="shared" si="1"/>
      </x:c>
      <x:c r="F81" s="72"/>
      <x:c r="G81" s="72"/>
      <x:c r="H81" s="61" t="str">
        <x:f t="array" ref="H81">IF($G81="","",TEXTJOIN("",TRUE,MID($B81,MID($G81,SEQUENCE(LEN($G81),1),1)+0,1)))</x:f>
      </x:c>
      <x:c r="I81" s="72"/>
    </x:row>
    <x:row r="82">
      <x:c r="A82" s="47">
        <x:v>73.0</x:v>
      </x:c>
      <x:c r="B82" s="47" t="s">
        <x:v>149</x:v>
      </x:c>
      <x:c r="C82" s="48" t="str">
        <x:f t="array" ref="C82">IFS(D82="","", D82="A","NW", D82="B","NE", D82="C","SW", D82="D","SE",D82="Omit", "")</x:f>
      </x:c>
      <x:c r="D82" s="60"/>
      <x:c r="E82" s="61" t="str">
        <x:f t="shared" si="1"/>
      </x:c>
      <x:c r="F82" s="72"/>
      <x:c r="G82" s="72"/>
      <x:c r="H82" s="61" t="str">
        <x:f t="array" ref="H82">IF($G82="","",TEXTJOIN("",TRUE,MID($B82,MID($G82,SEQUENCE(LEN($G82),1),1)+0,1)))</x:f>
      </x:c>
      <x:c r="I82" s="72"/>
    </x:row>
    <x:row r="83">
      <x:c r="A83" s="47">
        <x:v>74.0</x:v>
      </x:c>
      <x:c r="B83" s="47" t="s">
        <x:v>152</x:v>
      </x:c>
      <x:c r="C83" s="48" t="str">
        <x:f t="array" ref="C83">IFS(D83="","", D83="A","SE", D83="B","NW", D83="C","NE", D83="D","SW",D83="Omit", "")</x:f>
      </x:c>
      <x:c r="D83" s="60"/>
      <x:c r="E83" s="61" t="str">
        <x:f t="shared" si="1"/>
      </x:c>
      <x:c r="F83" s="72"/>
      <x:c r="G83" s="72"/>
      <x:c r="H83" s="61" t="str">
        <x:f t="array" ref="H83">IF($G83="","",TEXTJOIN("",TRUE,MID($B83,MID($G83,SEQUENCE(LEN($G83),1),1)+0,1)))</x:f>
      </x:c>
      <x:c r="I83" s="72"/>
    </x:row>
    <x:row r="84">
      <x:c r="A84" s="47">
        <x:v>75.0</x:v>
      </x:c>
      <x:c r="B84" s="47" t="s">
        <x:v>155</x:v>
      </x:c>
      <x:c r="C84" s="48" t="str">
        <x:f t="array" ref="C84">IFS(D84="","", D84="A","SW", D84="B","SE", D84="C","NW", D84="D","NE",D84="Omit", "")</x:f>
      </x:c>
      <x:c r="D84" s="60"/>
      <x:c r="E84" s="61" t="str">
        <x:f t="shared" si="1"/>
      </x:c>
      <x:c r="F84" s="72"/>
      <x:c r="G84" s="72"/>
      <x:c r="H84" s="61" t="str">
        <x:f t="array" ref="H84">IF($G84="","",TEXTJOIN("",TRUE,MID($B84,MID($G84,SEQUENCE(LEN($G84),1),1)+0,1)))</x:f>
      </x:c>
      <x:c r="I84" s="72"/>
    </x:row>
    <x:row r="85">
      <x:c r="A85" s="47">
        <x:v>76.0</x:v>
      </x:c>
      <x:c r="B85" s="47" t="s">
        <x:v>158</x:v>
      </x:c>
      <x:c r="C85" s="48" t="str">
        <x:f t="array" ref="C85">IFS(D85="","", D85="A","NE", D85="B","SW", D85="C","SE", D85="D","NW",D85="Omit", "")</x:f>
      </x:c>
      <x:c r="D85" s="60"/>
      <x:c r="E85" s="61" t="str">
        <x:f t="shared" si="1"/>
      </x:c>
      <x:c r="F85" s="72"/>
      <x:c r="G85" s="72"/>
      <x:c r="H85" s="61" t="str">
        <x:f t="array" ref="H85">IF($G85="","",TEXTJOIN("",TRUE,MID($B85,MID($G85,SEQUENCE(LEN($G85),1),1)+0,1)))</x:f>
      </x:c>
      <x:c r="I85" s="72"/>
    </x:row>
    <x:row r="86">
      <x:c r="A86" s="47">
        <x:v>77.0</x:v>
      </x:c>
      <x:c r="B86" s="47" t="s">
        <x:v>149</x:v>
      </x:c>
      <x:c r="C86" s="48" t="str">
        <x:f t="array" ref="C86">IFS(D86="","", D86="A","NW", D86="B","NE", D86="C","SW", D86="D","SE",D86="Omit", "")</x:f>
      </x:c>
      <x:c r="D86" s="60"/>
      <x:c r="E86" s="61" t="str">
        <x:f t="shared" si="1"/>
      </x:c>
      <x:c r="F86" s="72"/>
      <x:c r="G86" s="72"/>
      <x:c r="H86" s="61" t="str">
        <x:f t="array" ref="H86">IF($G86="","",TEXTJOIN("",TRUE,MID($B86,MID($G86,SEQUENCE(LEN($G86),1),1)+0,1)))</x:f>
      </x:c>
      <x:c r="I86" s="72"/>
    </x:row>
    <x:row r="87">
      <x:c r="A87" s="47">
        <x:v>78.0</x:v>
      </x:c>
      <x:c r="B87" s="47" t="s">
        <x:v>152</x:v>
      </x:c>
      <x:c r="C87" s="48" t="str">
        <x:f t="array" ref="C87">IFS(D87="","", D87="A","SE", D87="B","NW", D87="C","NE", D87="D","SW",D87="Omit", "")</x:f>
      </x:c>
      <x:c r="D87" s="60"/>
      <x:c r="E87" s="61" t="str">
        <x:f t="shared" si="1"/>
      </x:c>
      <x:c r="F87" s="72"/>
      <x:c r="G87" s="72"/>
      <x:c r="H87" s="61" t="str">
        <x:f t="array" ref="H87">IF($G87="","",TEXTJOIN("",TRUE,MID($B87,MID($G87,SEQUENCE(LEN($G87),1),1)+0,1)))</x:f>
      </x:c>
      <x:c r="I87" s="72"/>
    </x:row>
    <x:row r="88">
      <x:c r="A88" s="47">
        <x:v>79.0</x:v>
      </x:c>
      <x:c r="B88" s="47" t="s">
        <x:v>155</x:v>
      </x:c>
      <x:c r="C88" s="48" t="str">
        <x:f t="array" ref="C88">IFS(D88="","", D88="A","SW", D88="B","SE", D88="C","NW", D88="D","NE",D88="Omit", "")</x:f>
      </x:c>
      <x:c r="D88" s="60"/>
      <x:c r="E88" s="61" t="str">
        <x:f t="shared" si="1"/>
      </x:c>
      <x:c r="F88" s="72"/>
      <x:c r="G88" s="72"/>
      <x:c r="H88" s="61" t="str">
        <x:f t="array" ref="H88">IF($G88="","",TEXTJOIN("",TRUE,MID($B88,MID($G88,SEQUENCE(LEN($G88),1),1)+0,1)))</x:f>
      </x:c>
      <x:c r="I88" s="72"/>
    </x:row>
    <x:row r="89">
      <x:c r="A89" s="47">
        <x:v>80.0</x:v>
      </x:c>
      <x:c r="B89" s="47" t="s">
        <x:v>158</x:v>
      </x:c>
      <x:c r="C89" s="48" t="str">
        <x:f t="array" ref="C89">IFS(D89="","", D89="A","NE", D89="B","SW", D89="C","SE", D89="D","NW",D89="Omit", "")</x:f>
      </x:c>
      <x:c r="D89" s="60"/>
      <x:c r="E89" s="61" t="str">
        <x:f t="shared" si="1"/>
      </x:c>
      <x:c r="F89" s="72"/>
      <x:c r="G89" s="72"/>
      <x:c r="H89" s="61" t="str">
        <x:f t="array" ref="H89">IF($G89="","",TEXTJOIN("",TRUE,MID($B89,MID($G89,SEQUENCE(LEN($G89),1),1)+0,1)))</x:f>
      </x:c>
      <x:c r="I89" s="72"/>
    </x:row>
    <x:row r="90">
      <x:c r="A90" s="47">
        <x:v>81.0</x:v>
      </x:c>
      <x:c r="B90" s="47" t="s">
        <x:v>149</x:v>
      </x:c>
      <x:c r="C90" s="48" t="str">
        <x:f t="array" ref="C90">IFS(D90="","", D90="A","NW", D90="B","NE", D90="C","SW", D90="D","SE",D90="Omit", "")</x:f>
      </x:c>
      <x:c r="D90" s="60"/>
      <x:c r="E90" s="61" t="str">
        <x:f t="shared" si="1"/>
      </x:c>
      <x:c r="F90" s="72"/>
      <x:c r="G90" s="72"/>
      <x:c r="H90" s="61" t="str">
        <x:f t="array" ref="H90">IF($G90="","",TEXTJOIN("",TRUE,MID($B90,MID($G90,SEQUENCE(LEN($G90),1),1)+0,1)))</x:f>
      </x:c>
      <x:c r="I90" s="72"/>
    </x:row>
    <x:row r="91">
      <x:c r="A91" s="47">
        <x:v>82.0</x:v>
      </x:c>
      <x:c r="B91" s="47" t="s">
        <x:v>152</x:v>
      </x:c>
      <x:c r="C91" s="48" t="str">
        <x:f t="array" ref="C91">IFS(D91="","", D91="A","SE", D91="B","NW", D91="C","NE", D91="D","SW",D91="Omit", "")</x:f>
      </x:c>
      <x:c r="D91" s="60"/>
      <x:c r="E91" s="61" t="str">
        <x:f t="shared" si="1"/>
      </x:c>
      <x:c r="F91" s="72"/>
      <x:c r="G91" s="72"/>
      <x:c r="H91" s="61" t="str">
        <x:f t="array" ref="H91">IF($G91="","",TEXTJOIN("",TRUE,MID($B91,MID($G91,SEQUENCE(LEN($G91),1),1)+0,1)))</x:f>
      </x:c>
      <x:c r="I91" s="72"/>
    </x:row>
    <x:row r="92">
      <x:c r="A92" s="47">
        <x:v>83.0</x:v>
      </x:c>
      <x:c r="B92" s="47" t="s">
        <x:v>155</x:v>
      </x:c>
      <x:c r="C92" s="48" t="str">
        <x:f t="array" ref="C92">IFS(D92="","", D92="A","SW", D92="B","SE", D92="C","NW", D92="D","NE",D92="Omit", "")</x:f>
      </x:c>
      <x:c r="D92" s="60"/>
      <x:c r="E92" s="61" t="str">
        <x:f t="shared" si="1"/>
      </x:c>
      <x:c r="F92" s="72"/>
      <x:c r="G92" s="72"/>
      <x:c r="H92" s="61" t="str">
        <x:f t="array" ref="H92">IF($G92="","",TEXTJOIN("",TRUE,MID($B92,MID($G92,SEQUENCE(LEN($G92),1),1)+0,1)))</x:f>
      </x:c>
      <x:c r="I92" s="72"/>
    </x:row>
    <x:row r="93">
      <x:c r="A93" s="47">
        <x:v>84.0</x:v>
      </x:c>
      <x:c r="B93" s="47" t="s">
        <x:v>158</x:v>
      </x:c>
      <x:c r="C93" s="48" t="str">
        <x:f t="array" ref="C93">IFS(D93="","", D93="A","NE", D93="B","SW", D93="C","SE", D93="D","NW",D93="Omit", "")</x:f>
      </x:c>
      <x:c r="D93" s="60"/>
      <x:c r="E93" s="61" t="str">
        <x:f t="shared" si="1"/>
      </x:c>
      <x:c r="F93" s="72"/>
      <x:c r="G93" s="72"/>
      <x:c r="H93" s="61" t="str">
        <x:f t="array" ref="H93">IF($G93="","",TEXTJOIN("",TRUE,MID($B93,MID($G93,SEQUENCE(LEN($G93),1),1)+0,1)))</x:f>
      </x:c>
      <x:c r="I93" s="72"/>
    </x:row>
    <x:row r="94">
      <x:c r="A94" s="47">
        <x:v>85.0</x:v>
      </x:c>
      <x:c r="B94" s="47" t="s">
        <x:v>149</x:v>
      </x:c>
      <x:c r="C94" s="48" t="str">
        <x:f t="array" ref="C94">IFS(D94="","", D94="A","NW", D94="B","NE", D94="C","SW", D94="D","SE",D94="Omit", "")</x:f>
      </x:c>
      <x:c r="D94" s="60"/>
      <x:c r="E94" s="61" t="str">
        <x:f t="shared" si="1"/>
      </x:c>
      <x:c r="F94" s="72"/>
      <x:c r="G94" s="72"/>
      <x:c r="H94" s="61" t="str">
        <x:f t="array" ref="H94">IF($G94="","",TEXTJOIN("",TRUE,MID($B94,MID($G94,SEQUENCE(LEN($G94),1),1)+0,1)))</x:f>
      </x:c>
      <x:c r="I94" s="72"/>
    </x:row>
    <x:row r="95">
      <x:c r="A95" s="47">
        <x:v>86.0</x:v>
      </x:c>
      <x:c r="B95" s="47" t="s">
        <x:v>152</x:v>
      </x:c>
      <x:c r="C95" s="48" t="str">
        <x:f t="array" ref="C95">IFS(D95="","", D95="A","SE", D95="B","NW", D95="C","NE", D95="D","SW",D95="Omit", "")</x:f>
      </x:c>
      <x:c r="D95" s="60"/>
      <x:c r="E95" s="61" t="str">
        <x:f t="shared" si="1"/>
      </x:c>
      <x:c r="F95" s="72"/>
      <x:c r="G95" s="72"/>
      <x:c r="H95" s="61" t="str">
        <x:f t="array" ref="H95">IF($G95="","",TEXTJOIN("",TRUE,MID($B95,MID($G95,SEQUENCE(LEN($G95),1),1)+0,1)))</x:f>
      </x:c>
      <x:c r="I95" s="72"/>
    </x:row>
    <x:row r="96">
      <x:c r="A96" s="47">
        <x:v>87.0</x:v>
      </x:c>
      <x:c r="B96" s="47" t="s">
        <x:v>155</x:v>
      </x:c>
      <x:c r="C96" s="48" t="str">
        <x:f t="array" ref="C96">IFS(D96="","", D96="A","SW", D96="B","SE", D96="C","NW", D96="D","NE",D96="Omit", "")</x:f>
      </x:c>
      <x:c r="D96" s="60"/>
      <x:c r="E96" s="61" t="str">
        <x:f t="shared" si="1"/>
      </x:c>
      <x:c r="F96" s="72"/>
      <x:c r="G96" s="72"/>
      <x:c r="H96" s="61" t="str">
        <x:f t="array" ref="H96">IF($G96="","",TEXTJOIN("",TRUE,MID($B96,MID($G96,SEQUENCE(LEN($G96),1),1)+0,1)))</x:f>
      </x:c>
      <x:c r="I96" s="72"/>
    </x:row>
    <x:row r="97">
      <x:c r="A97" s="47">
        <x:v>88.0</x:v>
      </x:c>
      <x:c r="B97" s="47" t="s">
        <x:v>158</x:v>
      </x:c>
      <x:c r="C97" s="48" t="str">
        <x:f t="array" ref="C97">IFS(D97="","", D97="A","NE", D97="B","SW", D97="C","SE", D97="D","NW",D97="Omit", "")</x:f>
      </x:c>
      <x:c r="D97" s="60"/>
      <x:c r="E97" s="61" t="str">
        <x:f t="shared" si="1"/>
      </x:c>
      <x:c r="F97" s="72"/>
      <x:c r="G97" s="72"/>
      <x:c r="H97" s="61" t="str">
        <x:f t="array" ref="H97">IF($G97="","",TEXTJOIN("",TRUE,MID($B97,MID($G97,SEQUENCE(LEN($G97),1),1)+0,1)))</x:f>
      </x:c>
      <x:c r="I97" s="72"/>
    </x:row>
    <x:row r="98">
      <x:c r="A98" s="47">
        <x:v>89.0</x:v>
      </x:c>
      <x:c r="B98" s="47" t="s">
        <x:v>149</x:v>
      </x:c>
      <x:c r="C98" s="48" t="str">
        <x:f t="array" ref="C98">IFS(D98="","", D98="A","NW", D98="B","NE", D98="C","SW", D98="D","SE",D98="Omit", "")</x:f>
      </x:c>
      <x:c r="D98" s="60"/>
      <x:c r="E98" s="61" t="str">
        <x:f t="shared" si="1"/>
      </x:c>
      <x:c r="F98" s="72"/>
      <x:c r="G98" s="72"/>
      <x:c r="H98" s="61" t="str">
        <x:f t="array" ref="H98">IF($G98="","",TEXTJOIN("",TRUE,MID($B98,MID($G98,SEQUENCE(LEN($G98),1),1)+0,1)))</x:f>
      </x:c>
      <x:c r="I98" s="72"/>
    </x:row>
    <x:row r="99">
      <x:c r="A99" s="47">
        <x:v>90.0</x:v>
      </x:c>
      <x:c r="B99" s="47" t="s">
        <x:v>152</x:v>
      </x:c>
      <x:c r="C99" s="48" t="str">
        <x:f t="array" ref="C99">IFS(D99="","", D99="A","SE", D99="B","NW", D99="C","NE", D99="D","SW",D99="Omit", "")</x:f>
      </x:c>
      <x:c r="D99" s="60"/>
      <x:c r="E99" s="61" t="str">
        <x:f t="shared" si="1"/>
      </x:c>
      <x:c r="F99" s="72"/>
      <x:c r="G99" s="72"/>
      <x:c r="H99" s="61" t="str">
        <x:f t="array" ref="H99">IF($G99="","",TEXTJOIN("",TRUE,MID($B99,MID($G99,SEQUENCE(LEN($G99),1),1)+0,1)))</x:f>
      </x:c>
      <x:c r="I99" s="72"/>
    </x:row>
    <x:row r="100">
      <x:c r="A100" s="47">
        <x:v>91.0</x:v>
      </x:c>
      <x:c r="B100" s="47" t="s">
        <x:v>155</x:v>
      </x:c>
      <x:c r="C100" s="48" t="str">
        <x:f t="array" ref="C100">IFS(D100="","", D100="A","NW", D100="B","NE", D100="C","SW", D100="D","SE",D100="Omit", "")</x:f>
      </x:c>
      <x:c r="D100" s="60"/>
      <x:c r="E100" s="61" t="str">
        <x:f t="shared" si="1"/>
      </x:c>
      <x:c r="F100" s="72"/>
      <x:c r="G100" s="72"/>
      <x:c r="H100" s="61" t="str">
        <x:f t="array" ref="H100">IF($G100="","",TEXTJOIN("",TRUE,MID($B100,MID($G100,SEQUENCE(LEN($G100),1),1)+0,1)))</x:f>
      </x:c>
      <x:c r="I100" s="72"/>
    </x:row>
    <x:row r="101">
      <x:c r="A101" s="47">
        <x:v>92.0</x:v>
      </x:c>
      <x:c r="B101" s="47" t="s">
        <x:v>158</x:v>
      </x:c>
      <x:c r="C101" s="48" t="str">
        <x:f t="array" ref="C101">IFS(D101="","", D101="A","SE", D101="B","NW", D101="C","NE", D101="D","SW",D101="Omit", "")</x:f>
      </x:c>
      <x:c r="D101" s="60"/>
      <x:c r="E101" s="61" t="str">
        <x:f t="shared" si="1"/>
      </x:c>
      <x:c r="F101" s="72"/>
      <x:c r="G101" s="72"/>
      <x:c r="H101" s="61" t="str">
        <x:f t="array" ref="H101">IF($G101="","",TEXTJOIN("",TRUE,MID($B101,MID($G101,SEQUENCE(LEN($G101),1),1)+0,1)))</x:f>
      </x:c>
      <x:c r="I101" s="72"/>
    </x:row>
    <x:row r="102">
      <x:c r="A102" s="47">
        <x:v>93.0</x:v>
      </x:c>
      <x:c r="B102" s="47" t="s">
        <x:v>149</x:v>
      </x:c>
      <x:c r="C102" s="48" t="str">
        <x:f t="array" ref="C102">IFS(D102="","", D102="A","SW", D102="B","SE", D102="C","NW", D102="D","NE",D102="Omit", "")</x:f>
      </x:c>
      <x:c r="D102" s="60"/>
      <x:c r="E102" s="61" t="str">
        <x:f t="shared" si="1"/>
      </x:c>
      <x:c r="F102" s="72"/>
      <x:c r="G102" s="72"/>
      <x:c r="H102" s="61" t="str">
        <x:f t="array" ref="H102">IF($G102="","",TEXTJOIN("",TRUE,MID($B102,MID($G102,SEQUENCE(LEN($G102),1),1)+0,1)))</x:f>
      </x:c>
      <x:c r="I102" s="72"/>
    </x:row>
    <x:row r="103">
      <x:c r="A103" s="47">
        <x:v>94.0</x:v>
      </x:c>
      <x:c r="B103" s="47" t="s">
        <x:v>152</x:v>
      </x:c>
      <x:c r="C103" s="48" t="str">
        <x:f t="array" ref="C103">IFS(D103="","", D103="A","NE", D103="B","SW", D103="C","SE", D103="D","NW",D103="Omit", "")</x:f>
      </x:c>
      <x:c r="D103" s="60"/>
      <x:c r="E103" s="61" t="str">
        <x:f t="shared" si="1"/>
      </x:c>
      <x:c r="F103" s="72"/>
      <x:c r="G103" s="72"/>
      <x:c r="H103" s="61" t="str">
        <x:f t="array" ref="H103">IF($G103="","",TEXTJOIN("",TRUE,MID($B103,MID($G103,SEQUENCE(LEN($G103),1),1)+0,1)))</x:f>
      </x:c>
      <x:c r="I103" s="72"/>
    </x:row>
    <x:row r="104">
      <x:c r="A104" s="47">
        <x:v>95.0</x:v>
      </x:c>
      <x:c r="B104" s="47" t="s">
        <x:v>155</x:v>
      </x:c>
      <x:c r="C104" s="48" t="str">
        <x:f t="array" ref="C104">IFS(D104="","", D104="A","NW", D104="B","NE", D104="C","SW", D104="D","SE",D104="Omit", "")</x:f>
      </x:c>
      <x:c r="D104" s="60"/>
      <x:c r="E104" s="61" t="str">
        <x:f t="shared" si="1"/>
      </x:c>
      <x:c r="F104" s="72"/>
      <x:c r="G104" s="72"/>
      <x:c r="H104" s="61" t="str">
        <x:f t="array" ref="H104">IF($G104="","",TEXTJOIN("",TRUE,MID($B104,MID($G104,SEQUENCE(LEN($G104),1),1)+0,1)))</x:f>
      </x:c>
      <x:c r="I104" s="72"/>
    </x:row>
    <x:row r="105">
      <x:c r="A105" s="47">
        <x:v>96.0</x:v>
      </x:c>
      <x:c r="B105" s="47" t="s">
        <x:v>158</x:v>
      </x:c>
      <x:c r="C105" s="48" t="str">
        <x:f t="array" ref="C105">IFS(D105="","", D105="A","SE", D105="B","NW", D105="C","NE", D105="D","SW",D105="Omit", "")</x:f>
      </x:c>
      <x:c r="D105" s="60"/>
      <x:c r="E105" s="61" t="str">
        <x:f t="shared" si="1"/>
      </x:c>
      <x:c r="F105" s="72"/>
      <x:c r="G105" s="72"/>
      <x:c r="H105" s="61" t="str">
        <x:f t="array" ref="H105">IF($G105="","",TEXTJOIN("",TRUE,MID($B105,MID($G105,SEQUENCE(LEN($G105),1),1)+0,1)))</x:f>
      </x:c>
      <x:c r="I105" s="72"/>
    </x:row>
    <x:row r="106">
      <x:c r="A106" s="47">
        <x:v>97.0</x:v>
      </x:c>
      <x:c r="B106" s="47" t="s">
        <x:v>149</x:v>
      </x:c>
      <x:c r="C106" s="48" t="str">
        <x:f t="array" ref="C106">IFS(D106="","", D106="A","SW", D106="B","SE", D106="C","NW", D106="D","NE",D106="Omit", "")</x:f>
      </x:c>
      <x:c r="D106" s="60"/>
      <x:c r="E106" s="61" t="str">
        <x:f t="shared" si="1"/>
      </x:c>
      <x:c r="F106" s="72"/>
      <x:c r="G106" s="72"/>
      <x:c r="H106" s="61" t="str">
        <x:f t="array" ref="H106">IF($G106="","",TEXTJOIN("",TRUE,MID($B106,MID($G106,SEQUENCE(LEN($G106),1),1)+0,1)))</x:f>
      </x:c>
      <x:c r="I106" s="72"/>
    </x:row>
    <x:row r="107">
      <x:c r="A107" s="47">
        <x:v>98.0</x:v>
      </x:c>
      <x:c r="B107" s="47" t="s">
        <x:v>152</x:v>
      </x:c>
      <x:c r="C107" s="48" t="str">
        <x:f t="array" ref="C107">IFS(D107="","", D107="A","NE", D107="B","SW", D107="C","SE", D107="D","NW",D107="Omit", "")</x:f>
      </x:c>
      <x:c r="D107" s="60"/>
      <x:c r="E107" s="61" t="str">
        <x:f t="shared" si="1"/>
      </x:c>
      <x:c r="F107" s="72"/>
      <x:c r="G107" s="72"/>
      <x:c r="H107" s="61" t="str">
        <x:f t="array" ref="H107">IF($G107="","",TEXTJOIN("",TRUE,MID($B107,MID($G107,SEQUENCE(LEN($G107),1),1)+0,1)))</x:f>
      </x:c>
      <x:c r="I107" s="72"/>
    </x:row>
    <x:row r="108">
      <x:c r="A108" s="47">
        <x:v>99.0</x:v>
      </x:c>
      <x:c r="B108" s="47" t="s">
        <x:v>155</x:v>
      </x:c>
      <x:c r="C108" s="48" t="str">
        <x:f t="array" ref="C108">IFS(D108="","", D108="A","NW", D108="B","NE", D108="C","SW", D108="D","SE",D108="Omit", "")</x:f>
      </x:c>
      <x:c r="D108" s="60"/>
      <x:c r="E108" s="61" t="str">
        <x:f t="shared" si="1"/>
      </x:c>
      <x:c r="F108" s="72"/>
      <x:c r="G108" s="72"/>
      <x:c r="H108" s="61" t="str">
        <x:f t="array" ref="H108">IF($G108="","",TEXTJOIN("",TRUE,MID($B108,MID($G108,SEQUENCE(LEN($G108),1),1)+0,1)))</x:f>
      </x:c>
      <x:c r="I108" s="72"/>
    </x:row>
    <x:row r="109">
      <x:c r="A109" s="47">
        <x:v>100.0</x:v>
      </x:c>
      <x:c r="B109" s="47" t="s">
        <x:v>158</x:v>
      </x:c>
      <x:c r="C109" s="48" t="str">
        <x:f t="array" ref="C109">IFS(D109="","", D109="A","SE", D109="B","NW", D109="C","NE", D109="D","SW",D109="Omit", "")</x:f>
      </x:c>
      <x:c r="D109" s="60"/>
      <x:c r="E109" s="61" t="str">
        <x:f t="shared" si="1"/>
      </x:c>
      <x:c r="F109" s="72"/>
      <x:c r="G109" s="72"/>
      <x:c r="H109" s="61" t="str">
        <x:f t="array" ref="H109">IF($G109="","",TEXTJOIN("",TRUE,MID($B109,MID($G109,SEQUENCE(LEN($G109),1),1)+0,1)))</x:f>
      </x:c>
      <x:c r="I109" s="72"/>
    </x:row>
    <x:row r="110">
      <x:c r="A110" s="47">
        <x:v>101.0</x:v>
      </x:c>
      <x:c r="B110" s="47" t="s">
        <x:v>149</x:v>
      </x:c>
      <x:c r="C110" s="48" t="str">
        <x:f t="array" ref="C110">IFS(D110="","", D110="A","SW", D110="B","SE", D110="C","NW", D110="D","NE",D110="Omit", "")</x:f>
      </x:c>
      <x:c r="D110" s="60"/>
      <x:c r="E110" s="61" t="str">
        <x:f t="shared" si="1"/>
      </x:c>
      <x:c r="F110" s="72"/>
      <x:c r="G110" s="72"/>
      <x:c r="H110" s="61" t="str">
        <x:f t="array" ref="H110">IF($G110="","",TEXTJOIN("",TRUE,MID($B110,MID($G110,SEQUENCE(LEN($G110),1),1)+0,1)))</x:f>
      </x:c>
      <x:c r="I110" s="72"/>
    </x:row>
    <x:row r="111">
      <x:c r="A111" s="47">
        <x:v>102.0</x:v>
      </x:c>
      <x:c r="B111" s="47" t="s">
        <x:v>152</x:v>
      </x:c>
      <x:c r="C111" s="48" t="str">
        <x:f t="array" ref="C111">IFS(D111="","", D111="A","NE", D111="B","SW", D111="C","SE", D111="D","NW",D111="Omit", "")</x:f>
      </x:c>
      <x:c r="D111" s="60"/>
      <x:c r="E111" s="61" t="str">
        <x:f t="shared" si="1"/>
      </x:c>
      <x:c r="F111" s="72"/>
      <x:c r="G111" s="72"/>
      <x:c r="H111" s="61" t="str">
        <x:f t="array" ref="H111">IF($G111="","",TEXTJOIN("",TRUE,MID($B111,MID($G111,SEQUENCE(LEN($G111),1),1)+0,1)))</x:f>
      </x:c>
      <x:c r="I111" s="72"/>
    </x:row>
    <x:row r="112">
      <x:c r="A112" s="47">
        <x:v>103.0</x:v>
      </x:c>
      <x:c r="B112" s="47" t="s">
        <x:v>155</x:v>
      </x:c>
      <x:c r="C112" s="48" t="str">
        <x:f t="array" ref="C112">IFS(D112="","", D112="A","NW", D112="B","NE", D112="C","SW", D112="D","SE",D112="Omit", "")</x:f>
      </x:c>
      <x:c r="D112" s="60"/>
      <x:c r="E112" s="61" t="str">
        <x:f t="shared" si="1"/>
      </x:c>
      <x:c r="F112" s="72"/>
      <x:c r="G112" s="72"/>
      <x:c r="H112" s="61" t="str">
        <x:f t="array" ref="H112">IF($G112="","",TEXTJOIN("",TRUE,MID($B112,MID($G112,SEQUENCE(LEN($G112),1),1)+0,1)))</x:f>
      </x:c>
      <x:c r="I112" s="72"/>
    </x:row>
    <x:row r="113">
      <x:c r="A113" s="47">
        <x:v>104.0</x:v>
      </x:c>
      <x:c r="B113" s="47" t="s">
        <x:v>158</x:v>
      </x:c>
      <x:c r="C113" s="48" t="str">
        <x:f t="array" ref="C113">IFS(D113="","", D113="A","SE", D113="B","NW", D113="C","NE", D113="D","SW",D113="Omit", "")</x:f>
      </x:c>
      <x:c r="D113" s="60"/>
      <x:c r="E113" s="61" t="str">
        <x:f t="shared" si="1"/>
      </x:c>
      <x:c r="F113" s="72"/>
      <x:c r="G113" s="72"/>
      <x:c r="H113" s="61" t="str">
        <x:f t="array" ref="H113">IF($G113="","",TEXTJOIN("",TRUE,MID($B113,MID($G113,SEQUENCE(LEN($G113),1),1)+0,1)))</x:f>
      </x:c>
      <x:c r="I113" s="72"/>
    </x:row>
    <x:row r="114">
      <x:c r="A114" s="47">
        <x:v>105.0</x:v>
      </x:c>
      <x:c r="B114" s="47" t="s">
        <x:v>149</x:v>
      </x:c>
      <x:c r="C114" s="48" t="str">
        <x:f t="array" ref="C114">IFS(D114="","", D114="A","SW", D114="B","SE", D114="C","NW", D114="D","NE",D114="Omit", "")</x:f>
      </x:c>
      <x:c r="D114" s="60"/>
      <x:c r="E114" s="61" t="str">
        <x:f t="shared" si="1"/>
      </x:c>
      <x:c r="F114" s="72"/>
      <x:c r="G114" s="72"/>
      <x:c r="H114" s="61" t="str">
        <x:f t="array" ref="H114">IF($G114="","",TEXTJOIN("",TRUE,MID($B114,MID($G114,SEQUENCE(LEN($G114),1),1)+0,1)))</x:f>
      </x:c>
      <x:c r="I114" s="72"/>
    </x:row>
    <x:row r="115">
      <x:c r="A115" s="47">
        <x:v>106.0</x:v>
      </x:c>
      <x:c r="B115" s="47" t="s">
        <x:v>152</x:v>
      </x:c>
      <x:c r="C115" s="48" t="str">
        <x:f t="array" ref="C115">IFS(D115="","", D115="A","NE", D115="B","SW", D115="C","SE", D115="D","NW",D115="Omit", "")</x:f>
      </x:c>
      <x:c r="D115" s="60"/>
      <x:c r="E115" s="61" t="str">
        <x:f t="shared" si="1"/>
      </x:c>
      <x:c r="F115" s="72"/>
      <x:c r="G115" s="72"/>
      <x:c r="H115" s="61" t="str">
        <x:f t="array" ref="H115">IF($G115="","",TEXTJOIN("",TRUE,MID($B115,MID($G115,SEQUENCE(LEN($G115),1),1)+0,1)))</x:f>
      </x:c>
      <x:c r="I115" s="72"/>
    </x:row>
    <x:row r="116">
      <x:c r="A116" s="47">
        <x:v>107.0</x:v>
      </x:c>
      <x:c r="B116" s="47" t="s">
        <x:v>155</x:v>
      </x:c>
      <x:c r="C116" s="48" t="str">
        <x:f t="array" ref="C116">IFS(D116="","", D116="A","NW", D116="B","NE", D116="C","SW", D116="D","SE",D116="Omit", "")</x:f>
      </x:c>
      <x:c r="D116" s="60"/>
      <x:c r="E116" s="61" t="str">
        <x:f t="shared" si="1"/>
      </x:c>
      <x:c r="F116" s="72"/>
      <x:c r="G116" s="72"/>
      <x:c r="H116" s="61" t="str">
        <x:f t="array" ref="H116">IF($G116="","",TEXTJOIN("",TRUE,MID($B116,MID($G116,SEQUENCE(LEN($G116),1),1)+0,1)))</x:f>
      </x:c>
      <x:c r="I116" s="72"/>
    </x:row>
    <x:row r="117">
      <x:c r="A117" s="47">
        <x:v>108.0</x:v>
      </x:c>
      <x:c r="B117" s="47" t="s">
        <x:v>158</x:v>
      </x:c>
      <x:c r="C117" s="48" t="str">
        <x:f t="array" ref="C117">IFS(D117="","", D117="A","SE", D117="B","NW", D117="C","NE", D117="D","SW",D117="Omit", "")</x:f>
      </x:c>
      <x:c r="D117" s="60"/>
      <x:c r="E117" s="61" t="str">
        <x:f t="shared" si="1"/>
      </x:c>
      <x:c r="F117" s="72"/>
      <x:c r="G117" s="72"/>
      <x:c r="H117" s="61" t="str">
        <x:f t="array" ref="H117">IF($G117="","",TEXTJOIN("",TRUE,MID($B117,MID($G117,SEQUENCE(LEN($G117),1),1)+0,1)))</x:f>
      </x:c>
      <x:c r="I117" s="72"/>
    </x:row>
    <x:row r="118">
      <x:c r="A118" s="47">
        <x:v>109.0</x:v>
      </x:c>
      <x:c r="B118" s="47" t="s">
        <x:v>149</x:v>
      </x:c>
      <x:c r="C118" s="48" t="str">
        <x:f t="array" ref="C118">IFS(D118="","", D118="A","SW", D118="B","SE", D118="C","NW", D118="D","NE",D118="Omit", "")</x:f>
      </x:c>
      <x:c r="D118" s="60"/>
      <x:c r="E118" s="61" t="str">
        <x:f t="shared" si="1"/>
      </x:c>
      <x:c r="F118" s="72"/>
      <x:c r="G118" s="72"/>
      <x:c r="H118" s="61" t="str">
        <x:f t="array" ref="H118">IF($G118="","",TEXTJOIN("",TRUE,MID($B118,MID($G118,SEQUENCE(LEN($G118),1),1)+0,1)))</x:f>
      </x:c>
      <x:c r="I118" s="72"/>
    </x:row>
    <x:row r="119">
      <x:c r="A119" s="47">
        <x:v>110.0</x:v>
      </x:c>
      <x:c r="B119" s="47" t="s">
        <x:v>152</x:v>
      </x:c>
      <x:c r="C119" s="48" t="str">
        <x:f t="array" ref="C119">IFS(D119="","", D119="A","NE", D119="B","SW", D119="C","SE", D119="D","NW",D119="Omit", "")</x:f>
      </x:c>
      <x:c r="D119" s="60"/>
      <x:c r="E119" s="61" t="str">
        <x:f t="shared" si="1"/>
      </x:c>
      <x:c r="F119" s="72"/>
      <x:c r="G119" s="72"/>
      <x:c r="H119" s="61" t="str">
        <x:f t="array" ref="H119">IF($G119="","",TEXTJOIN("",TRUE,MID($B119,MID($G119,SEQUENCE(LEN($G119),1),1)+0,1)))</x:f>
      </x:c>
      <x:c r="I119" s="72"/>
    </x:row>
    <x:row r="120">
      <x:c r="A120" s="47">
        <x:v>111.0</x:v>
      </x:c>
      <x:c r="B120" s="47" t="s">
        <x:v>155</x:v>
      </x:c>
      <x:c r="C120" s="48" t="str">
        <x:f t="array" ref="C120">IFS(D120="","", D120="A","NW", D120="B","NE", D120="C","SW", D120="D","SE",D120="Omit", "")</x:f>
      </x:c>
      <x:c r="D120" s="60"/>
      <x:c r="E120" s="61" t="str">
        <x:f t="shared" si="1"/>
      </x:c>
      <x:c r="F120" s="72"/>
      <x:c r="G120" s="72"/>
      <x:c r="H120" s="61" t="str">
        <x:f t="array" ref="H120">IF($G120="","",TEXTJOIN("",TRUE,MID($B120,MID($G120,SEQUENCE(LEN($G120),1),1)+0,1)))</x:f>
      </x:c>
      <x:c r="I120" s="72"/>
    </x:row>
    <x:row r="121">
      <x:c r="A121" s="47">
        <x:v>112.0</x:v>
      </x:c>
      <x:c r="B121" s="47" t="s">
        <x:v>158</x:v>
      </x:c>
      <x:c r="C121" s="48" t="str">
        <x:f t="array" ref="C121">IFS(D121="","", D121="A","SE", D121="B","NW", D121="C","NE", D121="D","SW",D121="Omit", "")</x:f>
      </x:c>
      <x:c r="D121" s="60"/>
      <x:c r="E121" s="61" t="str">
        <x:f t="shared" si="1"/>
      </x:c>
      <x:c r="F121" s="72"/>
      <x:c r="G121" s="72"/>
      <x:c r="H121" s="61" t="str">
        <x:f t="array" ref="H121">IF($G121="","",TEXTJOIN("",TRUE,MID($B121,MID($G121,SEQUENCE(LEN($G121),1),1)+0,1)))</x:f>
      </x:c>
      <x:c r="I121" s="72"/>
    </x:row>
    <x:row r="122">
      <x:c r="A122" s="47">
        <x:v>113.0</x:v>
      </x:c>
      <x:c r="B122" s="47" t="s">
        <x:v>149</x:v>
      </x:c>
      <x:c r="C122" s="48" t="str">
        <x:f t="array" ref="C122">IFS(D122="","", D122="A","SW", D122="B","SE", D122="C","NW", D122="D","NE",D122="Omit", "")</x:f>
      </x:c>
      <x:c r="D122" s="60"/>
      <x:c r="E122" s="61" t="str">
        <x:f t="shared" si="1"/>
      </x:c>
      <x:c r="F122" s="72"/>
      <x:c r="G122" s="72"/>
      <x:c r="H122" s="61" t="str">
        <x:f t="array" ref="H122">IF($G122="","",TEXTJOIN("",TRUE,MID($B122,MID($G122,SEQUENCE(LEN($G122),1),1)+0,1)))</x:f>
      </x:c>
      <x:c r="I122" s="72"/>
    </x:row>
    <x:row r="123">
      <x:c r="A123" s="47">
        <x:v>114.0</x:v>
      </x:c>
      <x:c r="B123" s="47" t="s">
        <x:v>152</x:v>
      </x:c>
      <x:c r="C123" s="48" t="str">
        <x:f t="array" ref="C123">IFS(D123="","", D123="A","NE", D123="B","SW", D123="C","SE", D123="D","NW",D123="Omit", "")</x:f>
      </x:c>
      <x:c r="D123" s="60"/>
      <x:c r="E123" s="61" t="str">
        <x:f t="shared" si="1"/>
      </x:c>
      <x:c r="F123" s="72"/>
      <x:c r="G123" s="72"/>
      <x:c r="H123" s="61" t="str">
        <x:f t="array" ref="H123">IF($G123="","",TEXTJOIN("",TRUE,MID($B123,MID($G123,SEQUENCE(LEN($G123),1),1)+0,1)))</x:f>
      </x:c>
      <x:c r="I123" s="72"/>
    </x:row>
    <x:row r="124">
      <x:c r="A124" s="47">
        <x:v>115.0</x:v>
      </x:c>
      <x:c r="B124" s="47" t="s">
        <x:v>155</x:v>
      </x:c>
      <x:c r="C124" s="48" t="str">
        <x:f t="array" ref="C124">IFS(D124="","", D124="A","NW", D124="B","NE", D124="C","SW", D124="D","SE",D124="Omit", "")</x:f>
      </x:c>
      <x:c r="D124" s="60"/>
      <x:c r="E124" s="61" t="str">
        <x:f t="shared" si="1"/>
      </x:c>
      <x:c r="F124" s="72"/>
      <x:c r="G124" s="72"/>
      <x:c r="H124" s="61" t="str">
        <x:f t="array" ref="H124">IF($G124="","",TEXTJOIN("",TRUE,MID($B124,MID($G124,SEQUENCE(LEN($G124),1),1)+0,1)))</x:f>
      </x:c>
      <x:c r="I124" s="72"/>
    </x:row>
    <x:row r="125">
      <x:c r="A125" s="47">
        <x:v>116.0</x:v>
      </x:c>
      <x:c r="B125" s="47" t="s">
        <x:v>158</x:v>
      </x:c>
      <x:c r="C125" s="48" t="str">
        <x:f t="array" ref="C125">IFS(D125="","", D125="A","SE", D125="B","NW", D125="C","NE", D125="D","SW",D125="Omit", "")</x:f>
      </x:c>
      <x:c r="D125" s="60"/>
      <x:c r="E125" s="61" t="str">
        <x:f t="shared" si="1"/>
      </x:c>
      <x:c r="F125" s="72"/>
      <x:c r="G125" s="72"/>
      <x:c r="H125" s="61" t="str">
        <x:f t="array" ref="H125">IF($G125="","",TEXTJOIN("",TRUE,MID($B125,MID($G125,SEQUENCE(LEN($G125),1),1)+0,1)))</x:f>
      </x:c>
      <x:c r="I125" s="72"/>
    </x:row>
    <x:row r="126">
      <x:c r="A126" s="47">
        <x:v>117.0</x:v>
      </x:c>
      <x:c r="B126" s="47" t="s">
        <x:v>149</x:v>
      </x:c>
      <x:c r="C126" s="48" t="str">
        <x:f t="array" ref="C126">IFS(D126="","", D126="A","SW", D126="B","SE", D126="C","NW", D126="D","NE",D126="Omit", "")</x:f>
      </x:c>
      <x:c r="D126" s="60"/>
      <x:c r="E126" s="61" t="str">
        <x:f t="shared" si="1"/>
      </x:c>
      <x:c r="F126" s="72"/>
      <x:c r="G126" s="72"/>
      <x:c r="H126" s="61" t="str">
        <x:f t="array" ref="H126">IF($G126="","",TEXTJOIN("",TRUE,MID($B126,MID($G126,SEQUENCE(LEN($G126),1),1)+0,1)))</x:f>
      </x:c>
      <x:c r="I126" s="72"/>
    </x:row>
    <x:row r="127">
      <x:c r="A127" s="47">
        <x:v>118.0</x:v>
      </x:c>
      <x:c r="B127" s="47" t="s">
        <x:v>152</x:v>
      </x:c>
      <x:c r="C127" s="48" t="str">
        <x:f t="array" ref="C127">IFS(D127="","", D127="A","NE", D127="B","SW", D127="C","SE", D127="D","NW",D127="Omit", "")</x:f>
      </x:c>
      <x:c r="D127" s="60"/>
      <x:c r="E127" s="61" t="str">
        <x:f t="shared" si="1"/>
      </x:c>
      <x:c r="F127" s="72"/>
      <x:c r="G127" s="72"/>
      <x:c r="H127" s="61" t="str">
        <x:f t="array" ref="H127">IF($G127="","",TEXTJOIN("",TRUE,MID($B127,MID($G127,SEQUENCE(LEN($G127),1),1)+0,1)))</x:f>
      </x:c>
      <x:c r="I127" s="72"/>
    </x:row>
    <x:row r="128">
      <x:c r="A128" s="47">
        <x:v>119.0</x:v>
      </x:c>
      <x:c r="B128" s="47" t="s">
        <x:v>155</x:v>
      </x:c>
      <x:c r="C128" s="48" t="str">
        <x:f t="array" ref="C128">IFS(D128="","", D128="A","NW", D128="B","NE", D128="C","SW", D128="D","SE",D128="Omit", "")</x:f>
      </x:c>
      <x:c r="D128" s="60"/>
      <x:c r="E128" s="61" t="str">
        <x:f t="shared" si="1"/>
      </x:c>
      <x:c r="F128" s="72"/>
      <x:c r="G128" s="72"/>
      <x:c r="H128" s="61" t="str">
        <x:f t="array" ref="H128">IF($G128="","",TEXTJOIN("",TRUE,MID($B128,MID($G128,SEQUENCE(LEN($G128),1),1)+0,1)))</x:f>
      </x:c>
      <x:c r="I128" s="72"/>
    </x:row>
    <x:row r="129">
      <x:c r="A129" s="47">
        <x:v>120.0</x:v>
      </x:c>
      <x:c r="B129" s="47" t="s">
        <x:v>158</x:v>
      </x:c>
      <x:c r="C129" s="48" t="str">
        <x:f t="array" ref="C129">IFS(D129="","", D129="A","SE", D129="B","NW", D129="C","NE", D129="D","SW",D129="Omit", "")</x:f>
      </x:c>
      <x:c r="D129" s="60"/>
      <x:c r="E129" s="61" t="str">
        <x:f t="shared" si="1"/>
      </x:c>
      <x:c r="F129" s="72"/>
      <x:c r="G129" s="72"/>
      <x:c r="H129" s="61" t="str">
        <x:f t="array" ref="H129">IF($G129="","",TEXTJOIN("",TRUE,MID($B129,MID($G129,SEQUENCE(LEN($G129),1),1)+0,1)))</x:f>
      </x:c>
      <x:c r="I129" s="72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3799991607666" customWidth="1"/>
    <x:col min="9" max="10" width="18.8799991607666" customWidth="1"/>
  </x:cols>
  <x:sheetData>
    <x:row r="1" ht="30" customHeight="1">
      <x:c r="A1" s="3" t="s">
        <x:v>208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 t="s">
        <x:v>80</x:v>
      </x:c>
      <x:c r="B3" s="6" t="s">
        <x:v>81</x:v>
      </x:c>
      <x:c r="C3" s="5" t="s">
        <x:v>82</x:v>
      </x:c>
      <x:c r="D3" s="41">
        <x:v>0.6631944444444444</x:v>
      </x:c>
      <x:c r="E3" s="5" t="s">
        <x:v>83</x:v>
      </x:c>
      <x:c r="F3" s="13" t="str">
        <x:f>IF(D3="","","ZT " &amp; TEXT(MOD(D3-METADATA!$B$19,1),"hh:mm"))</x:f>
        <x:v>ZT 17:55</x:v>
      </x:c>
      <x:c r="G3" s="4"/>
      <x:c r="H3" s="4"/>
      <x:c r="I3" s="4"/>
      <x:c r="J3" s="4"/>
    </x:row>
    <x:row r="4">
      <x:c r="A4" s="5" t="s">
        <x:v>84</x:v>
      </x:c>
      <x:c r="B4" s="12">
        <x:v>46262.0</x:v>
      </x:c>
      <x:c r="C4" s="5" t="s">
        <x:v>85</x:v>
      </x:c>
      <x:c r="D4" s="41">
        <x:v>0.7208333333333333</x:v>
      </x:c>
      <x:c r="E4" s="5" t="s">
        <x:v>86</x:v>
      </x:c>
      <x:c r="F4" s="13" t="str">
        <x:f>IF(D4="","","ZT " &amp; TEXT(MOD(D4-METADATA!$B$19,1),"hh:mm"))</x:f>
        <x:v>ZT 19:18</x:v>
      </x:c>
      <x:c r="G4" s="4"/>
      <x:c r="H4" s="4"/>
      <x:c r="I4" s="4"/>
      <x:c r="J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42" t="s">
        <x:v>133</x:v>
      </x:c>
      <x:c r="B6" s="43" t="s">
        <x:v>209</x:v>
      </x:c>
      <x:c r="C6" s="4"/>
      <x:c r="D6" s="42" t="s">
        <x:v>135</x:v>
      </x:c>
      <x:c r="E6" s="57" t="s">
        <x:v>210</x:v>
      </x:c>
      <x:c r="F6" s="4"/>
      <x:c r="G6" s="4"/>
      <x:c r="H6" s="4"/>
      <x:c r="I6" s="4"/>
      <x:c r="J6" s="4"/>
    </x:row>
    <x:row r="7">
      <x:c r="A7" s="42" t="s">
        <x:v>137</x:v>
      </x:c>
      <x:c r="B7" s="52" t="s">
        <x:v>138</x:v>
      </x:c>
      <x:c r="C7" s="52" t="s">
        <x:v>139</x:v>
      </x:c>
      <x:c r="D7" s="52" t="s">
        <x:v>140</x:v>
      </x:c>
      <x:c r="E7" s="58" t="s">
        <x:v>211</x:v>
      </x:c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>
      <x:c r="A9" s="44" t="s">
        <x:v>114</x:v>
      </x:c>
      <x:c r="B9" s="45" t="s">
        <x:v>142</x:v>
      </x:c>
      <x:c r="C9" s="46" t="s">
        <x:v>143</x:v>
      </x:c>
      <x:c r="D9" s="44" t="s">
        <x:v>144</x:v>
      </x:c>
      <x:c r="E9" s="44" t="s">
        <x:v>145</x:v>
      </x:c>
      <x:c r="F9" s="44" t="s">
        <x:v>146</x:v>
      </x:c>
      <x:c r="G9" s="53" t="s">
        <x:v>147</x:v>
      </x:c>
      <x:c r="H9" s="53" t="s">
        <x:v>148</x:v>
      </x:c>
      <x:c r="I9" s="44" t="s">
        <x:v>212</x:v>
      </x:c>
      <x:c r="J9" s="44" t="s">
        <x:v>94</x:v>
      </x:c>
    </x:row>
    <x:row r="10">
      <x:c r="A10" s="47">
        <x:v>1.0</x:v>
      </x:c>
      <x:c r="B10" s="47" t="s">
        <x:v>149</x:v>
      </x:c>
      <x:c r="C10" s="48" t="str">
        <x:f t="array" ref="C10">IFS(D10="","", D10="A","NW", D10="B","NE", D10="C","SW", D10="D","SE",D10="Omit", "")</x:f>
        <x:v>NW</x:v>
      </x:c>
      <x:c r="D10" s="6" t="s">
        <x:v>161</x:v>
      </x:c>
      <x:c r="E10" s="49" t="str">
        <x:f t="shared" ref="E10:E129" si="1">IF(D10="","",IF(D10="B","Correct","Incorrect"))</x:f>
        <x:v>Incorrect</x:v>
      </x:c>
      <x:c r="F10" s="31">
        <x:v>131.0</x:v>
      </x:c>
      <x:c r="G10" s="51" t="s">
        <x:v>213</x:v>
      </x:c>
      <x:c r="H10" s="29" t="str">
        <x:f t="array" ref="H10">IF($G10="","",TEXTJOIN("",TRUE,MID($B10,MID($G10,SEQUENCE(LEN($G10),1),1)+0,1)))</x:f>
        <x:v>Error: #VALUE!</x:v>
      </x:c>
      <x:c r="I10" s="49" t="str">
        <x:f t="shared" ref="I10:I58" si="2">IF(OR(D10="",D10="Omit"),"",IF(D10="B","",IF(D10="A",IF(COUNTIF(D9:D$10,"B")=0,"Perseverative","Regressive"),IF(D10="C","Irrelevant",IF(D10="D","Novel","")))))</x:f>
        <x:v>Perseverative</x:v>
      </x:c>
      <x:c r="J10" s="55"/>
    </x:row>
    <x:row r="11">
      <x:c r="A11" s="47">
        <x:v>2.0</x:v>
      </x:c>
      <x:c r="B11" s="47" t="s">
        <x:v>152</x:v>
      </x:c>
      <x:c r="C11" s="48" t="str">
        <x:f t="array" ref="C11">IFS(D11="","", D11="A","SE", D11="B","NW", D11="C","NE", D11="D","SW",D11="Omit", "")</x:f>
        <x:v>SE</x:v>
      </x:c>
      <x:c r="D11" s="6" t="s">
        <x:v>161</x:v>
      </x:c>
      <x:c r="E11" s="49" t="str">
        <x:f t="shared" si="1"/>
        <x:v>Incorrect</x:v>
      </x:c>
      <x:c r="F11" s="31">
        <x:v>78.0</x:v>
      </x:c>
      <x:c r="G11" s="51" t="s">
        <x:v>214</x:v>
      </x:c>
      <x:c r="H11" s="29" t="str">
        <x:f t="array" ref="H11">IF($G11="","",TEXTJOIN("",TRUE,MID($B11,MID($G11,SEQUENCE(LEN($G11),1),1)+0,1)))</x:f>
        <x:v>Error: #VALUE!</x:v>
      </x:c>
      <x:c r="I11" s="49" t="str">
        <x:f t="shared" si="2"/>
        <x:v>Perseverative</x:v>
      </x:c>
      <x:c r="J11" s="55"/>
    </x:row>
    <x:row r="12">
      <x:c r="A12" s="47">
        <x:v>3.0</x:v>
      </x:c>
      <x:c r="B12" s="47" t="s">
        <x:v>155</x:v>
      </x:c>
      <x:c r="C12" s="48" t="str">
        <x:f t="array" ref="C12">IFS(D12="","", D12="A","SW", D12="B","SE", D12="C","NW", D12="D","NE",D12="Omit", "")</x:f>
        <x:v>SE</x:v>
      </x:c>
      <x:c r="D12" s="6" t="s">
        <x:v>153</x:v>
      </x:c>
      <x:c r="E12" s="56" t="str">
        <x:f t="shared" si="1"/>
        <x:v>Correct</x:v>
      </x:c>
      <x:c r="F12" s="31">
        <x:v>12.0</x:v>
      </x:c>
      <x:c r="G12" s="51" t="s">
        <x:v>215</x:v>
      </x:c>
      <x:c r="H12" s="29" t="str">
        <x:f t="array" ref="H12">IF($G12="","",TEXTJOIN("",TRUE,MID($B12,MID($G12,SEQUENCE(LEN($G12),1),1)+0,1)))</x:f>
        <x:v>Error: #VALUE!</x:v>
      </x:c>
      <x:c r="I12" s="59" t="str">
        <x:f t="shared" si="2"/>
      </x:c>
      <x:c r="J12" s="55"/>
    </x:row>
    <x:row r="13">
      <x:c r="A13" s="47">
        <x:v>4.0</x:v>
      </x:c>
      <x:c r="B13" s="47" t="s">
        <x:v>158</x:v>
      </x:c>
      <x:c r="C13" s="48" t="str">
        <x:f t="array" ref="C13">IFS(D13="","", D13="A","NE", D13="B","SW", D13="C","SE", D13="D","NW",D13="Omit", "")</x:f>
        <x:v>NE</x:v>
      </x:c>
      <x:c r="D13" s="6" t="s">
        <x:v>161</x:v>
      </x:c>
      <x:c r="E13" s="49" t="str">
        <x:f t="shared" si="1"/>
        <x:v>Incorrect</x:v>
      </x:c>
      <x:c r="F13" s="31">
        <x:v>17.0</x:v>
      </x:c>
      <x:c r="G13" s="51" t="s">
        <x:v>216</x:v>
      </x:c>
      <x:c r="H13" s="29" t="str">
        <x:f t="array" ref="H13">IF($G13="","",TEXTJOIN("",TRUE,MID($B13,MID($G13,SEQUENCE(LEN($G13),1),1)+0,1)))</x:f>
        <x:v>Error: #VALUE!</x:v>
      </x:c>
      <x:c r="I13" s="63" t="str">
        <x:f t="shared" si="2"/>
        <x:v>Regressive</x:v>
      </x:c>
      <x:c r="J13" s="55"/>
    </x:row>
    <x:row r="14">
      <x:c r="A14" s="47">
        <x:v>5.0</x:v>
      </x:c>
      <x:c r="B14" s="47" t="s">
        <x:v>149</x:v>
      </x:c>
      <x:c r="C14" s="48" t="str">
        <x:f t="array" ref="C14">IFS(D14="","", D14="A","NW", D14="B","NE", D14="C","SW", D14="D","SE",D14="Omit", "")</x:f>
        <x:v>NW</x:v>
      </x:c>
      <x:c r="D14" s="6" t="s">
        <x:v>161</x:v>
      </x:c>
      <x:c r="E14" s="49" t="str">
        <x:f t="shared" si="1"/>
        <x:v>Incorrect</x:v>
      </x:c>
      <x:c r="F14" s="31">
        <x:v>20.0</x:v>
      </x:c>
      <x:c r="G14" s="51" t="s">
        <x:v>217</x:v>
      </x:c>
      <x:c r="H14" s="29" t="str">
        <x:f t="array" ref="H14">IF($G14="","",TEXTJOIN("",TRUE,MID($B14,MID($G14,SEQUENCE(LEN($G14),1),1)+0,1)))</x:f>
        <x:v>Error: #VALUE!</x:v>
      </x:c>
      <x:c r="I14" s="63" t="str">
        <x:f t="shared" si="2"/>
        <x:v>Regressive</x:v>
      </x:c>
      <x:c r="J14" s="55"/>
    </x:row>
    <x:row r="15">
      <x:c r="A15" s="47">
        <x:v>6.0</x:v>
      </x:c>
      <x:c r="B15" s="47" t="s">
        <x:v>152</x:v>
      </x:c>
      <x:c r="C15" s="48" t="str">
        <x:f t="array" ref="C15">IFS(D15="","", D15="A","SE", D15="B","NW", D15="C","NE", D15="D","SW",D15="Omit", "")</x:f>
      </x:c>
      <x:c r="D15" s="6" t="s">
        <x:v>150</x:v>
      </x:c>
      <x:c r="E15" s="49" t="str">
        <x:f t="shared" si="1"/>
        <x:v>Incorrect</x:v>
      </x:c>
      <x:c r="F15" s="31">
        <x:v>180.0</x:v>
      </x:c>
      <x:c r="G15" s="51" t="s">
        <x:v>218</x:v>
      </x:c>
      <x:c r="H15" s="29" t="str">
        <x:f t="array" ref="H15">IF($G15="","",TEXTJOIN("",TRUE,MID($B15,MID($G15,SEQUENCE(LEN($G15),1),1)+0,1)))</x:f>
        <x:v>Error: #VALUE!</x:v>
      </x:c>
      <x:c r="I15" s="59" t="str">
        <x:f t="shared" si="2"/>
      </x:c>
      <x:c r="J15" s="55"/>
    </x:row>
    <x:row r="16">
      <x:c r="A16" s="47">
        <x:v>7.0</x:v>
      </x:c>
      <x:c r="B16" s="47" t="s">
        <x:v>155</x:v>
      </x:c>
      <x:c r="C16" s="48" t="str">
        <x:f t="array" ref="C16">IFS(D16="","", D16="A","SW", D16="B","SE", D16="C","NW", D16="D","NE",D16="Omit", "")</x:f>
        <x:v>SW</x:v>
      </x:c>
      <x:c r="D16" s="6" t="s">
        <x:v>161</x:v>
      </x:c>
      <x:c r="E16" s="49" t="str">
        <x:f t="shared" si="1"/>
        <x:v>Incorrect</x:v>
      </x:c>
      <x:c r="F16" s="31">
        <x:v>8.0</x:v>
      </x:c>
      <x:c r="G16" s="51" t="s">
        <x:v>107</x:v>
      </x:c>
      <x:c r="H16" s="29" t="str">
        <x:f t="array" ref="H16">IF($G16="","",TEXTJOIN("",TRUE,MID($B16,MID($G16,SEQUENCE(LEN($G16),1),1)+0,1)))</x:f>
        <x:v>A</x:v>
      </x:c>
      <x:c r="I16" s="63" t="str">
        <x:f t="shared" si="2"/>
        <x:v>Regressive</x:v>
      </x:c>
      <x:c r="J16" s="55"/>
    </x:row>
    <x:row r="17">
      <x:c r="A17" s="47">
        <x:v>8.0</x:v>
      </x:c>
      <x:c r="B17" s="47" t="s">
        <x:v>158</x:v>
      </x:c>
      <x:c r="C17" s="48" t="str">
        <x:f t="array" ref="C17">IFS(D17="","", D17="A","NE", D17="B","SW", D17="C","SE", D17="D","NW",D17="Omit", "")</x:f>
        <x:v>NE</x:v>
      </x:c>
      <x:c r="D17" s="6" t="s">
        <x:v>161</x:v>
      </x:c>
      <x:c r="E17" s="49" t="str">
        <x:f t="shared" si="1"/>
        <x:v>Incorrect</x:v>
      </x:c>
      <x:c r="F17" s="31">
        <x:v>34.0</x:v>
      </x:c>
      <x:c r="G17" s="51" t="s">
        <x:v>219</x:v>
      </x:c>
      <x:c r="H17" s="29" t="str">
        <x:f t="array" ref="H17">IF($G17="","",TEXTJOIN("",TRUE,MID($B17,MID($G17,SEQUENCE(LEN($G17),1),1)+0,1)))</x:f>
        <x:v>Error: #VALUE!</x:v>
      </x:c>
      <x:c r="I17" s="63" t="str">
        <x:f t="shared" si="2"/>
        <x:v>Regressive</x:v>
      </x:c>
      <x:c r="J17" s="55"/>
    </x:row>
    <x:row r="18">
      <x:c r="A18" s="47">
        <x:v>9.0</x:v>
      </x:c>
      <x:c r="B18" s="47" t="s">
        <x:v>149</x:v>
      </x:c>
      <x:c r="C18" s="48" t="str">
        <x:f t="array" ref="C18">IFS(D18="","", D18="A","NW", D18="B","NE", D18="C","SW", D18="D","SE",D18="Omit", "")</x:f>
        <x:v>NW</x:v>
      </x:c>
      <x:c r="D18" s="6" t="s">
        <x:v>161</x:v>
      </x:c>
      <x:c r="E18" s="49" t="str">
        <x:f t="shared" si="1"/>
        <x:v>Incorrect</x:v>
      </x:c>
      <x:c r="F18" s="31">
        <x:v>22.0</x:v>
      </x:c>
      <x:c r="G18" s="51" t="s">
        <x:v>220</x:v>
      </x:c>
      <x:c r="H18" s="29" t="str">
        <x:f t="array" ref="H18">IF($G18="","",TEXTJOIN("",TRUE,MID($B18,MID($G18,SEQUENCE(LEN($G18),1),1)+0,1)))</x:f>
        <x:v>Error: #VALUE!</x:v>
      </x:c>
      <x:c r="I18" s="63" t="str">
        <x:f t="shared" si="2"/>
        <x:v>Regressive</x:v>
      </x:c>
      <x:c r="J18" s="55"/>
    </x:row>
    <x:row r="19">
      <x:c r="A19" s="47">
        <x:v>10.0</x:v>
      </x:c>
      <x:c r="B19" s="47" t="s">
        <x:v>152</x:v>
      </x:c>
      <x:c r="C19" s="48" t="str">
        <x:f t="array" ref="C19">IFS(D19="","", D19="A","SE", D19="B","NW", D19="C","NE", D19="D","SW",D19="Omit", "")</x:f>
        <x:v>NW</x:v>
      </x:c>
      <x:c r="D19" s="6" t="s">
        <x:v>153</x:v>
      </x:c>
      <x:c r="E19" s="56" t="str">
        <x:f t="shared" si="1"/>
        <x:v>Correct</x:v>
      </x:c>
      <x:c r="F19" s="31">
        <x:v>48.0</x:v>
      </x:c>
      <x:c r="G19" s="51" t="s">
        <x:v>221</x:v>
      </x:c>
      <x:c r="H19" s="29" t="str">
        <x:f t="array" ref="H19">IF($G19="","",TEXTJOIN("",TRUE,MID($B19,MID($G19,SEQUENCE(LEN($G19),1),1)+0,1)))</x:f>
        <x:v>Error: #VALUE!</x:v>
      </x:c>
      <x:c r="I19" s="59" t="str">
        <x:f t="shared" si="2"/>
      </x:c>
      <x:c r="J19" s="55"/>
    </x:row>
    <x:row r="20">
      <x:c r="A20" s="47">
        <x:v>11.0</x:v>
      </x:c>
      <x:c r="B20" s="47" t="s">
        <x:v>155</x:v>
      </x:c>
      <x:c r="C20" s="48" t="str">
        <x:f t="array" ref="C20">IFS(D20="","", D20="A","SW", D20="B","SE", D20="C","NW", D20="D","NE",D20="Omit", "")</x:f>
        <x:v>SE</x:v>
      </x:c>
      <x:c r="D20" s="6" t="s">
        <x:v>153</x:v>
      </x:c>
      <x:c r="E20" s="56" t="str">
        <x:f t="shared" si="1"/>
        <x:v>Correct</x:v>
      </x:c>
      <x:c r="F20" s="31">
        <x:v>23.0</x:v>
      </x:c>
      <x:c r="G20" s="51" t="s">
        <x:v>222</x:v>
      </x:c>
      <x:c r="H20" s="29" t="str">
        <x:f t="array" ref="H20">IF($G20="","",TEXTJOIN("",TRUE,MID($B20,MID($G20,SEQUENCE(LEN($G20),1),1)+0,1)))</x:f>
        <x:v>Error: #VALUE!</x:v>
      </x:c>
      <x:c r="I20" s="59" t="str">
        <x:f t="shared" si="2"/>
      </x:c>
      <x:c r="J20" s="55"/>
    </x:row>
    <x:row r="21">
      <x:c r="A21" s="47">
        <x:v>12.0</x:v>
      </x:c>
      <x:c r="B21" s="47" t="s">
        <x:v>158</x:v>
      </x:c>
      <x:c r="C21" s="48" t="str">
        <x:f t="array" ref="C21">IFS(D21="","", D21="A","NE", D21="B","SW", D21="C","SE", D21="D","NW",D21="Omit", "")</x:f>
        <x:v>NE</x:v>
      </x:c>
      <x:c r="D21" s="6" t="s">
        <x:v>161</x:v>
      </x:c>
      <x:c r="E21" s="49" t="str">
        <x:f t="shared" si="1"/>
        <x:v>Incorrect</x:v>
      </x:c>
      <x:c r="F21" s="31">
        <x:v>89.0</x:v>
      </x:c>
      <x:c r="G21" s="51" t="s">
        <x:v>223</x:v>
      </x:c>
      <x:c r="H21" s="29" t="str">
        <x:f t="array" ref="H21">IF($G21="","",TEXTJOIN("",TRUE,MID($B21,MID($G21,SEQUENCE(LEN($G21),1),1)+0,1)))</x:f>
        <x:v>Error: #VALUE!</x:v>
      </x:c>
      <x:c r="I21" s="63" t="str">
        <x:f t="shared" si="2"/>
        <x:v>Regressive</x:v>
      </x:c>
      <x:c r="J21" s="55"/>
    </x:row>
    <x:row r="22">
      <x:c r="A22" s="47">
        <x:v>13.0</x:v>
      </x:c>
      <x:c r="B22" s="47" t="s">
        <x:v>149</x:v>
      </x:c>
      <x:c r="C22" s="48" t="str">
        <x:f t="array" ref="C22">IFS(D22="","", D22="A","NW", D22="B","NE", D22="C","SW", D22="D","SE",D22="Omit", "")</x:f>
        <x:v>NE</x:v>
      </x:c>
      <x:c r="D22" s="6" t="s">
        <x:v>153</x:v>
      </x:c>
      <x:c r="E22" s="56" t="str">
        <x:f t="shared" si="1"/>
        <x:v>Correct</x:v>
      </x:c>
      <x:c r="F22" s="31">
        <x:v>29.0</x:v>
      </x:c>
      <x:c r="G22" s="51" t="s">
        <x:v>224</x:v>
      </x:c>
      <x:c r="H22" s="29" t="str">
        <x:f t="array" ref="H22">IF($G22="","",TEXTJOIN("",TRUE,MID($B22,MID($G22,SEQUENCE(LEN($G22),1),1)+0,1)))</x:f>
        <x:v>Error: #VALUE!</x:v>
      </x:c>
      <x:c r="I22" s="59" t="str">
        <x:f t="shared" si="2"/>
      </x:c>
      <x:c r="J22" s="55"/>
    </x:row>
    <x:row r="23">
      <x:c r="A23" s="47">
        <x:v>14.0</x:v>
      </x:c>
      <x:c r="B23" s="47" t="s">
        <x:v>152</x:v>
      </x:c>
      <x:c r="C23" s="48" t="str">
        <x:f t="array" ref="C23">IFS(D23="","", D23="A","SE", D23="B","NW", D23="C","NE", D23="D","SW",D23="Omit", "")</x:f>
        <x:v>SE</x:v>
      </x:c>
      <x:c r="D23" s="6" t="s">
        <x:v>161</x:v>
      </x:c>
      <x:c r="E23" s="49" t="str">
        <x:f t="shared" si="1"/>
        <x:v>Incorrect</x:v>
      </x:c>
      <x:c r="F23" s="31">
        <x:v>6.0</x:v>
      </x:c>
      <x:c r="G23" s="51" t="s">
        <x:v>203</x:v>
      </x:c>
      <x:c r="H23" s="29" t="str">
        <x:f t="array" ref="H23">IF($G23="","",TEXTJOIN("",TRUE,MID($B23,MID($G23,SEQUENCE(LEN($G23),1),1)+0,1)))</x:f>
        <x:v>Error: #VALUE!</x:v>
      </x:c>
      <x:c r="I23" s="63" t="str">
        <x:f t="shared" si="2"/>
        <x:v>Regressive</x:v>
      </x:c>
      <x:c r="J23" s="55"/>
    </x:row>
    <x:row r="24">
      <x:c r="A24" s="47">
        <x:v>15.0</x:v>
      </x:c>
      <x:c r="B24" s="47" t="s">
        <x:v>155</x:v>
      </x:c>
      <x:c r="C24" s="48" t="str">
        <x:f t="array" ref="C24">IFS(D24="","", D24="A","SW", D24="B","SE", D24="C","NW", D24="D","NE",D24="Omit", "")</x:f>
        <x:v>SE</x:v>
      </x:c>
      <x:c r="D24" s="6" t="s">
        <x:v>153</x:v>
      </x:c>
      <x:c r="E24" s="56" t="str">
        <x:f t="shared" si="1"/>
        <x:v>Correct</x:v>
      </x:c>
      <x:c r="F24" s="31">
        <x:v>6.0</x:v>
      </x:c>
      <x:c r="G24" s="51" t="s">
        <x:v>100</x:v>
      </x:c>
      <x:c r="H24" s="29" t="str">
        <x:f t="array" ref="H24">IF($G24="","",TEXTJOIN("",TRUE,MID($B24,MID($G24,SEQUENCE(LEN($G24),1),1)+0,1)))</x:f>
        <x:v>B</x:v>
      </x:c>
      <x:c r="I24" s="59" t="str">
        <x:f t="shared" si="2"/>
      </x:c>
      <x:c r="J24" s="55"/>
    </x:row>
    <x:row r="25">
      <x:c r="A25" s="47">
        <x:v>16.0</x:v>
      </x:c>
      <x:c r="B25" s="47" t="s">
        <x:v>158</x:v>
      </x:c>
      <x:c r="C25" s="48" t="str">
        <x:f t="array" ref="C25">IFS(D25="","", D25="A","NE", D25="B","SW", D25="C","SE", D25="D","NW",D25="Omit", "")</x:f>
      </x:c>
      <x:c r="D25" s="17"/>
      <x:c r="E25" s="59" t="str">
        <x:f t="shared" si="1"/>
      </x:c>
      <x:c r="F25" s="66"/>
      <x:c r="G25" s="54"/>
      <x:c r="H25" s="59" t="str">
        <x:f t="array" ref="H25">IF($G25="","",TEXTJOIN("",TRUE,MID($B25,MID($G25,SEQUENCE(LEN($G25),1),1)+0,1)))</x:f>
      </x:c>
      <x:c r="I25" s="59" t="str">
        <x:f t="shared" si="2"/>
      </x:c>
      <x:c r="J25" s="55"/>
    </x:row>
    <x:row r="26">
      <x:c r="A26" s="47">
        <x:v>17.0</x:v>
      </x:c>
      <x:c r="B26" s="47" t="s">
        <x:v>149</x:v>
      </x:c>
      <x:c r="C26" s="48" t="str">
        <x:f t="array" ref="C26">IFS(D26="","", D26="A","NW", D26="B","NE", D26="C","SW", D26="D","SE",D26="Omit", "")</x:f>
        <x:v>NE</x:v>
      </x:c>
      <x:c r="D26" s="6" t="s">
        <x:v>153</x:v>
      </x:c>
      <x:c r="E26" s="56" t="str">
        <x:f t="shared" si="1"/>
        <x:v>Correct</x:v>
      </x:c>
      <x:c r="F26" s="31">
        <x:v>9.0</x:v>
      </x:c>
      <x:c r="G26" s="51" t="s">
        <x:v>183</x:v>
      </x:c>
      <x:c r="H26" s="29" t="str">
        <x:f t="array" ref="H26">IF($G26="","",TEXTJOIN("",TRUE,MID($B26,MID($G26,SEQUENCE(LEN($G26),1),1)+0,1)))</x:f>
        <x:v>B</x:v>
      </x:c>
      <x:c r="I26" s="59" t="str">
        <x:f t="shared" si="2"/>
      </x:c>
      <x:c r="J26" s="55"/>
    </x:row>
    <x:row r="27">
      <x:c r="A27" s="47">
        <x:v>18.0</x:v>
      </x:c>
      <x:c r="B27" s="47" t="s">
        <x:v>152</x:v>
      </x:c>
      <x:c r="C27" s="48" t="str">
        <x:f t="array" ref="C27">IFS(D27="","", D27="A","SE", D27="B","NW", D27="C","NE", D27="D","SW",D27="Omit", "")</x:f>
        <x:v>SE</x:v>
      </x:c>
      <x:c r="D27" s="6" t="s">
        <x:v>161</x:v>
      </x:c>
      <x:c r="E27" s="49" t="str">
        <x:f t="shared" si="1"/>
        <x:v>Incorrect</x:v>
      </x:c>
      <x:c r="F27" s="31">
        <x:v>5.0</x:v>
      </x:c>
      <x:c r="G27" s="51" t="s">
        <x:v>203</x:v>
      </x:c>
      <x:c r="H27" s="29" t="str">
        <x:f t="array" ref="H27">IF($G27="","",TEXTJOIN("",TRUE,MID($B27,MID($G27,SEQUENCE(LEN($G27),1),1)+0,1)))</x:f>
        <x:v>Error: #VALUE!</x:v>
      </x:c>
      <x:c r="I27" s="63" t="str">
        <x:f t="shared" si="2"/>
        <x:v>Regressive</x:v>
      </x:c>
      <x:c r="J27" s="55"/>
    </x:row>
    <x:row r="28">
      <x:c r="A28" s="47">
        <x:v>19.0</x:v>
      </x:c>
      <x:c r="B28" s="47" t="s">
        <x:v>155</x:v>
      </x:c>
      <x:c r="C28" s="48" t="str">
        <x:f t="array" ref="C28">IFS(D28="","", D28="A","SW", D28="B","SE", D28="C","NW", D28="D","NE",D28="Omit", "")</x:f>
        <x:v>SE</x:v>
      </x:c>
      <x:c r="D28" s="6" t="s">
        <x:v>153</x:v>
      </x:c>
      <x:c r="E28" s="56" t="str">
        <x:f t="shared" si="1"/>
        <x:v>Correct</x:v>
      </x:c>
      <x:c r="F28" s="31">
        <x:v>170.0</x:v>
      </x:c>
      <x:c r="G28" s="51" t="s">
        <x:v>203</x:v>
      </x:c>
      <x:c r="H28" s="29" t="str">
        <x:f t="array" ref="H28">IF($G28="","",TEXTJOIN("",TRUE,MID($B28,MID($G28,SEQUENCE(LEN($G28),1),1)+0,1)))</x:f>
        <x:v>Error: #VALUE!</x:v>
      </x:c>
      <x:c r="I28" s="59" t="str">
        <x:f t="shared" si="2"/>
      </x:c>
      <x:c r="J28" s="55"/>
    </x:row>
    <x:row r="29">
      <x:c r="A29" s="47">
        <x:v>20.0</x:v>
      </x:c>
      <x:c r="B29" s="47" t="s">
        <x:v>158</x:v>
      </x:c>
      <x:c r="C29" s="48" t="str">
        <x:f t="array" ref="C29">IFS(D29="","", D29="A","NE", D29="B","SW", D29="C","SE", D29="D","NW",D29="Omit", "")</x:f>
        <x:v>NE</x:v>
      </x:c>
      <x:c r="D29" s="6" t="s">
        <x:v>161</x:v>
      </x:c>
      <x:c r="E29" s="49" t="str">
        <x:f t="shared" si="1"/>
        <x:v>Incorrect</x:v>
      </x:c>
      <x:c r="F29" s="31">
        <x:v>10.0</x:v>
      </x:c>
      <x:c r="G29" s="51" t="s">
        <x:v>225</x:v>
      </x:c>
      <x:c r="H29" s="29" t="str">
        <x:f t="array" ref="H29">IF($G29="","",TEXTJOIN("",TRUE,MID($B29,MID($G29,SEQUENCE(LEN($G29),1),1)+0,1)))</x:f>
        <x:v>Error: #VALUE!</x:v>
      </x:c>
      <x:c r="I29" s="63" t="str">
        <x:f t="shared" si="2"/>
        <x:v>Regressive</x:v>
      </x:c>
      <x:c r="J29" s="55"/>
    </x:row>
    <x:row r="30">
      <x:c r="A30" s="47">
        <x:v>21.0</x:v>
      </x:c>
      <x:c r="B30" s="47" t="s">
        <x:v>149</x:v>
      </x:c>
      <x:c r="C30" s="48" t="str">
        <x:f t="array" ref="C30">IFS(D30="","", D30="A","NW", D30="B","NE", D30="C","SW", D30="D","SE",D30="Omit", "")</x:f>
        <x:v>NW</x:v>
      </x:c>
      <x:c r="D30" s="6" t="s">
        <x:v>161</x:v>
      </x:c>
      <x:c r="E30" s="49" t="str">
        <x:f t="shared" si="1"/>
        <x:v>Incorrect</x:v>
      </x:c>
      <x:c r="F30" s="31">
        <x:v>10.0</x:v>
      </x:c>
      <x:c r="G30" s="51" t="s">
        <x:v>226</x:v>
      </x:c>
      <x:c r="H30" s="29" t="str">
        <x:f t="array" ref="H30">IF($G30="","",TEXTJOIN("",TRUE,MID($B30,MID($G30,SEQUENCE(LEN($G30),1),1)+0,1)))</x:f>
        <x:v>Error: #VALUE!</x:v>
      </x:c>
      <x:c r="I30" s="63" t="str">
        <x:f t="shared" si="2"/>
        <x:v>Regressive</x:v>
      </x:c>
      <x:c r="J30" s="55"/>
    </x:row>
    <x:row r="31">
      <x:c r="A31" s="47">
        <x:v>22.0</x:v>
      </x:c>
      <x:c r="B31" s="47" t="s">
        <x:v>152</x:v>
      </x:c>
      <x:c r="C31" s="48" t="str">
        <x:f t="array" ref="C31">IFS(D31="","", D31="A","SE", D31="B","NW", D31="C","NE", D31="D","SW",D31="Omit", "")</x:f>
        <x:v>SE</x:v>
      </x:c>
      <x:c r="D31" s="6" t="s">
        <x:v>161</x:v>
      </x:c>
      <x:c r="E31" s="49" t="str">
        <x:f t="shared" si="1"/>
        <x:v>Incorrect</x:v>
      </x:c>
      <x:c r="F31" s="31">
        <x:v>9.0</x:v>
      </x:c>
      <x:c r="G31" s="51" t="s">
        <x:v>227</x:v>
      </x:c>
      <x:c r="H31" s="29" t="str">
        <x:f t="array" ref="H31">IF($G31="","",TEXTJOIN("",TRUE,MID($B31,MID($G31,SEQUENCE(LEN($G31),1),1)+0,1)))</x:f>
        <x:v>Error: #VALUE!</x:v>
      </x:c>
      <x:c r="I31" s="63" t="str">
        <x:f t="shared" si="2"/>
        <x:v>Regressive</x:v>
      </x:c>
      <x:c r="J31" s="55"/>
    </x:row>
    <x:row r="32">
      <x:c r="A32" s="47">
        <x:v>23.0</x:v>
      </x:c>
      <x:c r="B32" s="47" t="s">
        <x:v>155</x:v>
      </x:c>
      <x:c r="C32" s="48" t="str">
        <x:f t="array" ref="C32">IFS(D32="","", D32="A","SW", D32="B","SE", D32="C","NW", D32="D","NE",D32="Omit", "")</x:f>
        <x:v>SE</x:v>
      </x:c>
      <x:c r="D32" s="6" t="s">
        <x:v>153</x:v>
      </x:c>
      <x:c r="E32" s="56" t="str">
        <x:f t="shared" si="1"/>
        <x:v>Correct</x:v>
      </x:c>
      <x:c r="F32" s="31">
        <x:v>14.0</x:v>
      </x:c>
      <x:c r="G32" s="51" t="s">
        <x:v>228</x:v>
      </x:c>
      <x:c r="H32" s="29" t="str">
        <x:f t="array" ref="H32">IF($G32="","",TEXTJOIN("",TRUE,MID($B32,MID($G32,SEQUENCE(LEN($G32),1),1)+0,1)))</x:f>
        <x:v>Error: #VALUE!</x:v>
      </x:c>
      <x:c r="I32" s="59" t="str">
        <x:f t="shared" si="2"/>
      </x:c>
      <x:c r="J32" s="55"/>
    </x:row>
    <x:row r="33">
      <x:c r="A33" s="47">
        <x:v>24.0</x:v>
      </x:c>
      <x:c r="B33" s="47" t="s">
        <x:v>158</x:v>
      </x:c>
      <x:c r="C33" s="48" t="str">
        <x:f t="array" ref="C33">IFS(D33="","", D33="A","NE", D33="B","SW", D33="C","SE", D33="D","NW",D33="Omit", "")</x:f>
        <x:v>SE</x:v>
      </x:c>
      <x:c r="D33" s="6" t="s">
        <x:v>229</x:v>
      </x:c>
      <x:c r="E33" s="49" t="str">
        <x:f t="shared" si="1"/>
        <x:v>Incorrect</x:v>
      </x:c>
      <x:c r="F33" s="31">
        <x:v>81.0</x:v>
      </x:c>
      <x:c r="G33" s="51" t="s">
        <x:v>230</x:v>
      </x:c>
      <x:c r="H33" s="29" t="str">
        <x:f t="array" ref="H33">IF($G33="","",TEXTJOIN("",TRUE,MID($B33,MID($G33,SEQUENCE(LEN($G33),1),1)+0,1)))</x:f>
        <x:v>Error: #VALUE!</x:v>
      </x:c>
      <x:c r="I33" s="68" t="str">
        <x:f t="shared" si="2"/>
        <x:v>Irrelevant</x:v>
      </x:c>
      <x:c r="J33" s="55"/>
    </x:row>
    <x:row r="34">
      <x:c r="A34" s="47">
        <x:v>25.0</x:v>
      </x:c>
      <x:c r="B34" s="47" t="s">
        <x:v>149</x:v>
      </x:c>
      <x:c r="C34" s="48" t="str">
        <x:f t="array" ref="C34">IFS(D34="","", D34="A","NW", D34="B","NE", D34="C","SW", D34="D","SE",D34="Omit", "")</x:f>
        <x:v>NE</x:v>
      </x:c>
      <x:c r="D34" s="6" t="s">
        <x:v>153</x:v>
      </x:c>
      <x:c r="E34" s="56" t="str">
        <x:f t="shared" si="1"/>
        <x:v>Correct</x:v>
      </x:c>
      <x:c r="F34" s="31">
        <x:v>9.0</x:v>
      </x:c>
      <x:c r="G34" s="51" t="s">
        <x:v>193</x:v>
      </x:c>
      <x:c r="H34" s="29" t="str">
        <x:f t="array" ref="H34">IF($G34="","",TEXTJOIN("",TRUE,MID($B34,MID($G34,SEQUENCE(LEN($G34),1),1)+0,1)))</x:f>
        <x:v>Error: #VALUE!</x:v>
      </x:c>
      <x:c r="I34" s="59" t="str">
        <x:f t="shared" si="2"/>
      </x:c>
      <x:c r="J34" s="55"/>
    </x:row>
    <x:row r="35">
      <x:c r="A35" s="47">
        <x:v>26.0</x:v>
      </x:c>
      <x:c r="B35" s="47" t="s">
        <x:v>152</x:v>
      </x:c>
      <x:c r="C35" s="48" t="str">
        <x:f t="array" ref="C35">IFS(D35="","", D35="A","SE", D35="B","NW", D35="C","NE", D35="D","SW",D35="Omit", "")</x:f>
        <x:v>SE</x:v>
      </x:c>
      <x:c r="D35" s="6" t="s">
        <x:v>161</x:v>
      </x:c>
      <x:c r="E35" s="49" t="str">
        <x:f t="shared" si="1"/>
        <x:v>Incorrect</x:v>
      </x:c>
      <x:c r="F35" s="31">
        <x:v>16.0</x:v>
      </x:c>
      <x:c r="G35" s="51" t="s">
        <x:v>203</x:v>
      </x:c>
      <x:c r="H35" s="29" t="str">
        <x:f t="array" ref="H35">IF($G35="","",TEXTJOIN("",TRUE,MID($B35,MID($G35,SEQUENCE(LEN($G35),1),1)+0,1)))</x:f>
        <x:v>Error: #VALUE!</x:v>
      </x:c>
      <x:c r="I35" s="63" t="str">
        <x:f t="shared" si="2"/>
        <x:v>Regressive</x:v>
      </x:c>
      <x:c r="J35" s="55"/>
    </x:row>
    <x:row r="36">
      <x:c r="A36" s="47">
        <x:v>27.0</x:v>
      </x:c>
      <x:c r="B36" s="47" t="s">
        <x:v>155</x:v>
      </x:c>
      <x:c r="C36" s="48" t="str">
        <x:f t="array" ref="C36">IFS(D36="","", D36="A","SW", D36="B","SE", D36="C","NW", D36="D","NE",D36="Omit", "")</x:f>
        <x:v>SE</x:v>
      </x:c>
      <x:c r="D36" s="6" t="s">
        <x:v>153</x:v>
      </x:c>
      <x:c r="E36" s="56" t="str">
        <x:f t="shared" si="1"/>
        <x:v>Correct</x:v>
      </x:c>
      <x:c r="F36" s="31">
        <x:v>5.0</x:v>
      </x:c>
      <x:c r="G36" s="51" t="s">
        <x:v>203</x:v>
      </x:c>
      <x:c r="H36" s="29" t="str">
        <x:f t="array" ref="H36">IF($G36="","",TEXTJOIN("",TRUE,MID($B36,MID($G36,SEQUENCE(LEN($G36),1),1)+0,1)))</x:f>
        <x:v>Error: #VALUE!</x:v>
      </x:c>
      <x:c r="I36" s="59" t="str">
        <x:f t="shared" si="2"/>
      </x:c>
      <x:c r="J36" s="55"/>
    </x:row>
    <x:row r="37">
      <x:c r="A37" s="47">
        <x:v>28.0</x:v>
      </x:c>
      <x:c r="B37" s="47" t="s">
        <x:v>158</x:v>
      </x:c>
      <x:c r="C37" s="48" t="str">
        <x:f t="array" ref="C37">IFS(D37="","", D37="A","NE", D37="B","SW", D37="C","SE", D37="D","NW",D37="Omit", "")</x:f>
        <x:v>NE</x:v>
      </x:c>
      <x:c r="D37" s="6" t="s">
        <x:v>161</x:v>
      </x:c>
      <x:c r="E37" s="49" t="str">
        <x:f t="shared" si="1"/>
        <x:v>Incorrect</x:v>
      </x:c>
      <x:c r="F37" s="31">
        <x:v>20.0</x:v>
      </x:c>
      <x:c r="G37" s="51" t="s">
        <x:v>231</x:v>
      </x:c>
      <x:c r="H37" s="29" t="str">
        <x:f t="array" ref="H37">IF($G37="","",TEXTJOIN("",TRUE,MID($B37,MID($G37,SEQUENCE(LEN($G37),1),1)+0,1)))</x:f>
        <x:v>Error: #VALUE!</x:v>
      </x:c>
      <x:c r="I37" s="63" t="str">
        <x:f t="shared" si="2"/>
        <x:v>Regressive</x:v>
      </x:c>
      <x:c r="J37" s="55"/>
    </x:row>
    <x:row r="38">
      <x:c r="A38" s="47">
        <x:v>29.0</x:v>
      </x:c>
      <x:c r="B38" s="47" t="s">
        <x:v>149</x:v>
      </x:c>
      <x:c r="C38" s="48" t="str">
        <x:f t="array" ref="C38">IFS(D38="","", D38="A","NW", D38="B","NE", D38="C","SW", D38="D","SE",D38="Omit", "")</x:f>
        <x:v>NW</x:v>
      </x:c>
      <x:c r="D38" s="6" t="s">
        <x:v>161</x:v>
      </x:c>
      <x:c r="E38" s="49" t="str">
        <x:f t="shared" si="1"/>
        <x:v>Incorrect</x:v>
      </x:c>
      <x:c r="F38" s="31">
        <x:v>31.0</x:v>
      </x:c>
      <x:c r="G38" s="51" t="s">
        <x:v>232</x:v>
      </x:c>
      <x:c r="H38" s="29" t="str">
        <x:f t="array" ref="H38">IF($G38="","",TEXTJOIN("",TRUE,MID($B38,MID($G38,SEQUENCE(LEN($G38),1),1)+0,1)))</x:f>
        <x:v>Error: #VALUE!</x:v>
      </x:c>
      <x:c r="I38" s="63" t="str">
        <x:f t="shared" si="2"/>
        <x:v>Regressive</x:v>
      </x:c>
      <x:c r="J38" s="55"/>
    </x:row>
    <x:row r="39">
      <x:c r="A39" s="47">
        <x:v>30.0</x:v>
      </x:c>
      <x:c r="B39" s="47" t="s">
        <x:v>152</x:v>
      </x:c>
      <x:c r="C39" s="48" t="str">
        <x:f t="array" ref="C39">IFS(D39="","", D39="A","SE", D39="B","NW", D39="C","NE", D39="D","SW",D39="Omit", "")</x:f>
        <x:v>NW</x:v>
      </x:c>
      <x:c r="D39" s="6" t="s">
        <x:v>153</x:v>
      </x:c>
      <x:c r="E39" s="56" t="str">
        <x:f t="shared" si="1"/>
        <x:v>Correct</x:v>
      </x:c>
      <x:c r="F39" s="31">
        <x:v>43.0</x:v>
      </x:c>
      <x:c r="G39" s="51" t="s">
        <x:v>233</x:v>
      </x:c>
      <x:c r="H39" s="29" t="str">
        <x:f t="array" ref="H39">IF($G39="","",TEXTJOIN("",TRUE,MID($B39,MID($G39,SEQUENCE(LEN($G39),1),1)+0,1)))</x:f>
        <x:v>Error: #VALUE!</x:v>
      </x:c>
      <x:c r="I39" s="59" t="str">
        <x:f t="shared" si="2"/>
      </x:c>
      <x:c r="J39" s="55"/>
    </x:row>
    <x:row r="40">
      <x:c r="A40" s="47">
        <x:v>31.0</x:v>
      </x:c>
      <x:c r="B40" s="47" t="s">
        <x:v>155</x:v>
      </x:c>
      <x:c r="C40" s="48" t="str">
        <x:f t="array" ref="C40">IFS(D40="","", D40="A","NW", D40="B","NE", D40="C","SW", D40="D","SE",D40="Omit", "")</x:f>
        <x:v>NE</x:v>
      </x:c>
      <x:c r="D40" s="6" t="s">
        <x:v>153</x:v>
      </x:c>
      <x:c r="E40" s="56" t="str">
        <x:f t="shared" si="1"/>
        <x:v>Correct</x:v>
      </x:c>
      <x:c r="F40" s="31">
        <x:v>46.0</x:v>
      </x:c>
      <x:c r="G40" s="51" t="s">
        <x:v>234</x:v>
      </x:c>
      <x:c r="H40" s="29" t="str">
        <x:f t="array" ref="H40">IF($G40="","",TEXTJOIN("",TRUE,MID($B40,MID($G40,SEQUENCE(LEN($G40),1),1)+0,1)))</x:f>
        <x:v>Error: #VALUE!</x:v>
      </x:c>
      <x:c r="I40" s="59" t="str">
        <x:f t="shared" si="2"/>
      </x:c>
      <x:c r="J40" s="55"/>
    </x:row>
    <x:row r="41">
      <x:c r="A41" s="47">
        <x:v>32.0</x:v>
      </x:c>
      <x:c r="B41" s="47" t="s">
        <x:v>158</x:v>
      </x:c>
      <x:c r="C41" s="48" t="str">
        <x:f t="array" ref="C41">IFS(D41="","", D41="A","SE", D41="B","NW", D41="C","NE", D41="D","SW",D41="Omit", "")</x:f>
        <x:v>NW</x:v>
      </x:c>
      <x:c r="D41" s="6" t="s">
        <x:v>153</x:v>
      </x:c>
      <x:c r="E41" s="56" t="str">
        <x:f t="shared" si="1"/>
        <x:v>Correct</x:v>
      </x:c>
      <x:c r="F41" s="31">
        <x:v>15.0</x:v>
      </x:c>
      <x:c r="G41" s="51" t="s">
        <x:v>235</x:v>
      </x:c>
      <x:c r="H41" s="29" t="str">
        <x:f t="array" ref="H41">IF($G41="","",TEXTJOIN("",TRUE,MID($B41,MID($G41,SEQUENCE(LEN($G41),1),1)+0,1)))</x:f>
        <x:v>Error: #VALUE!</x:v>
      </x:c>
      <x:c r="I41" s="59" t="str">
        <x:f t="shared" si="2"/>
      </x:c>
      <x:c r="J41" s="55"/>
    </x:row>
    <x:row r="42">
      <x:c r="A42" s="47">
        <x:v>33.0</x:v>
      </x:c>
      <x:c r="B42" s="47" t="s">
        <x:v>149</x:v>
      </x:c>
      <x:c r="C42" s="48" t="str">
        <x:f t="array" ref="C42">IFS(D42="","", D42="A","SW", D42="B","SE", D42="C","NW", D42="D","NE",D42="Omit", "")</x:f>
        <x:v>SE</x:v>
      </x:c>
      <x:c r="D42" s="6" t="s">
        <x:v>153</x:v>
      </x:c>
      <x:c r="E42" s="56" t="str">
        <x:f t="shared" si="1"/>
        <x:v>Correct</x:v>
      </x:c>
      <x:c r="F42" s="31">
        <x:v>31.0</x:v>
      </x:c>
      <x:c r="G42" s="51" t="s">
        <x:v>236</x:v>
      </x:c>
      <x:c r="H42" s="29" t="str">
        <x:f t="array" ref="H42">IF($G42="","",TEXTJOIN("",TRUE,MID($B42,MID($G42,SEQUENCE(LEN($G42),1),1)+0,1)))</x:f>
        <x:v>Error: #VALUE!</x:v>
      </x:c>
      <x:c r="I42" s="59" t="str">
        <x:f t="shared" si="2"/>
      </x:c>
      <x:c r="J42" s="55"/>
    </x:row>
    <x:row r="43">
      <x:c r="A43" s="47">
        <x:v>34.0</x:v>
      </x:c>
      <x:c r="B43" s="47" t="s">
        <x:v>152</x:v>
      </x:c>
      <x:c r="C43" s="48" t="str">
        <x:f t="array" ref="C43">IFS(D43="","", D43="A","NE", D43="B","SW", D43="C","SE", D43="D","NW",D43="Omit", "")</x:f>
        <x:v>NE</x:v>
      </x:c>
      <x:c r="D43" s="6" t="s">
        <x:v>161</x:v>
      </x:c>
      <x:c r="E43" s="49" t="str">
        <x:f t="shared" si="1"/>
        <x:v>Incorrect</x:v>
      </x:c>
      <x:c r="F43" s="31">
        <x:v>25.0</x:v>
      </x:c>
      <x:c r="G43" s="51" t="s">
        <x:v>100</x:v>
      </x:c>
      <x:c r="H43" s="29" t="str">
        <x:f t="array" ref="H43">IF($G43="","",TEXTJOIN("",TRUE,MID($B43,MID($G43,SEQUENCE(LEN($G43),1),1)+0,1)))</x:f>
        <x:v>A</x:v>
      </x:c>
      <x:c r="I43" s="63" t="str">
        <x:f t="shared" si="2"/>
        <x:v>Regressive</x:v>
      </x:c>
      <x:c r="J43" s="55"/>
    </x:row>
    <x:row r="44">
      <x:c r="A44" s="47">
        <x:v>35.0</x:v>
      </x:c>
      <x:c r="B44" s="47" t="s">
        <x:v>155</x:v>
      </x:c>
      <x:c r="C44" s="48" t="str">
        <x:f t="array" ref="C44">IFS(D44="","", D44="A","NW", D44="B","NE", D44="C","SW", D44="D","SE",D44="Omit", "")</x:f>
        <x:v>NE</x:v>
      </x:c>
      <x:c r="D44" s="6" t="s">
        <x:v>153</x:v>
      </x:c>
      <x:c r="E44" s="56" t="str">
        <x:f t="shared" si="1"/>
        <x:v>Correct</x:v>
      </x:c>
      <x:c r="F44" s="31">
        <x:v>10.0</x:v>
      </x:c>
      <x:c r="G44" s="51" t="s">
        <x:v>203</x:v>
      </x:c>
      <x:c r="H44" s="29" t="str">
        <x:f t="array" ref="H44">IF($G44="","",TEXTJOIN("",TRUE,MID($B44,MID($G44,SEQUENCE(LEN($G44),1),1)+0,1)))</x:f>
        <x:v>Error: #VALUE!</x:v>
      </x:c>
      <x:c r="I44" s="59" t="str">
        <x:f t="shared" si="2"/>
      </x:c>
      <x:c r="J44" s="55"/>
    </x:row>
    <x:row r="45">
      <x:c r="A45" s="47">
        <x:v>36.0</x:v>
      </x:c>
      <x:c r="B45" s="47" t="s">
        <x:v>158</x:v>
      </x:c>
      <x:c r="C45" s="48" t="str">
        <x:f t="array" ref="C45">IFS(D45="","", D45="A","SE", D45="B","NW", D45="C","NE", D45="D","SW",D45="Omit", "")</x:f>
        <x:v>NW</x:v>
      </x:c>
      <x:c r="D45" s="6" t="s">
        <x:v>153</x:v>
      </x:c>
      <x:c r="E45" s="56" t="str">
        <x:f t="shared" si="1"/>
        <x:v>Correct</x:v>
      </x:c>
      <x:c r="F45" s="31">
        <x:v>5.0</x:v>
      </x:c>
      <x:c r="G45" s="51" t="s">
        <x:v>107</x:v>
      </x:c>
      <x:c r="H45" s="29" t="str">
        <x:f t="array" ref="H45">IF($G45="","",TEXTJOIN("",TRUE,MID($B45,MID($G45,SEQUENCE(LEN($G45),1),1)+0,1)))</x:f>
        <x:v>B</x:v>
      </x:c>
      <x:c r="I45" s="59" t="str">
        <x:f t="shared" si="2"/>
      </x:c>
      <x:c r="J45" s="55"/>
    </x:row>
    <x:row r="46">
      <x:c r="A46" s="47">
        <x:v>37.0</x:v>
      </x:c>
      <x:c r="B46" s="47" t="s">
        <x:v>149</x:v>
      </x:c>
      <x:c r="C46" s="48" t="str">
        <x:f t="array" ref="C46">IFS(D46="","", D46="A","SW", D46="B","SE", D46="C","NW", D46="D","NE",D46="Omit", "")</x:f>
        <x:v>SW</x:v>
      </x:c>
      <x:c r="D46" s="6" t="s">
        <x:v>161</x:v>
      </x:c>
      <x:c r="E46" s="49" t="str">
        <x:f t="shared" si="1"/>
        <x:v>Incorrect</x:v>
      </x:c>
      <x:c r="F46" s="31">
        <x:v>29.0</x:v>
      </x:c>
      <x:c r="G46" s="51" t="s">
        <x:v>237</x:v>
      </x:c>
      <x:c r="H46" s="29" t="str">
        <x:f t="array" ref="H46">IF($G46="","",TEXTJOIN("",TRUE,MID($B46,MID($G46,SEQUENCE(LEN($G46),1),1)+0,1)))</x:f>
        <x:v>Error: #VALUE!</x:v>
      </x:c>
      <x:c r="I46" s="63" t="str">
        <x:f t="shared" si="2"/>
        <x:v>Regressive</x:v>
      </x:c>
      <x:c r="J46" s="55"/>
    </x:row>
    <x:row r="47">
      <x:c r="A47" s="47">
        <x:v>38.0</x:v>
      </x:c>
      <x:c r="B47" s="47" t="s">
        <x:v>152</x:v>
      </x:c>
      <x:c r="C47" s="48" t="str">
        <x:f t="array" ref="C47">IFS(D47="","", D47="A","NE", D47="B","SW", D47="C","SE", D47="D","NW",D47="Omit", "")</x:f>
        <x:v>NE</x:v>
      </x:c>
      <x:c r="D47" s="6" t="s">
        <x:v>161</x:v>
      </x:c>
      <x:c r="E47" s="49" t="str">
        <x:f t="shared" si="1"/>
        <x:v>Incorrect</x:v>
      </x:c>
      <x:c r="F47" s="31">
        <x:v>11.0</x:v>
      </x:c>
      <x:c r="G47" s="51" t="s">
        <x:v>203</x:v>
      </x:c>
      <x:c r="H47" s="29" t="str">
        <x:f t="array" ref="H47">IF($G47="","",TEXTJOIN("",TRUE,MID($B47,MID($G47,SEQUENCE(LEN($G47),1),1)+0,1)))</x:f>
        <x:v>Error: #VALUE!</x:v>
      </x:c>
      <x:c r="I47" s="63" t="str">
        <x:f t="shared" si="2"/>
        <x:v>Regressive</x:v>
      </x:c>
      <x:c r="J47" s="55"/>
    </x:row>
    <x:row r="48">
      <x:c r="A48" s="47">
        <x:v>39.0</x:v>
      </x:c>
      <x:c r="B48" s="47" t="s">
        <x:v>155</x:v>
      </x:c>
      <x:c r="C48" s="48" t="str">
        <x:f t="array" ref="C48">IFS(D48="","", D48="A","NW", D48="B","NE", D48="C","SW", D48="D","SE",D48="Omit", "")</x:f>
        <x:v>NW</x:v>
      </x:c>
      <x:c r="D48" s="6" t="s">
        <x:v>161</x:v>
      </x:c>
      <x:c r="E48" s="49" t="str">
        <x:f t="shared" si="1"/>
        <x:v>Incorrect</x:v>
      </x:c>
      <x:c r="F48" s="31">
        <x:v>3.0</x:v>
      </x:c>
      <x:c r="G48" s="51" t="s">
        <x:v>107</x:v>
      </x:c>
      <x:c r="H48" s="29" t="str">
        <x:f t="array" ref="H48">IF($G48="","",TEXTJOIN("",TRUE,MID($B48,MID($G48,SEQUENCE(LEN($G48),1),1)+0,1)))</x:f>
        <x:v>A</x:v>
      </x:c>
      <x:c r="I48" s="63" t="str">
        <x:f t="shared" si="2"/>
        <x:v>Regressive</x:v>
      </x:c>
      <x:c r="J48" s="55"/>
    </x:row>
    <x:row r="49">
      <x:c r="A49" s="47">
        <x:v>40.0</x:v>
      </x:c>
      <x:c r="B49" s="47" t="s">
        <x:v>158</x:v>
      </x:c>
      <x:c r="C49" s="48" t="str">
        <x:f t="array" ref="C49">IFS(D49="","", D49="A","SE", D49="B","NW", D49="C","NE", D49="D","SW",D49="Omit", "")</x:f>
        <x:v>NW</x:v>
      </x:c>
      <x:c r="D49" s="6" t="s">
        <x:v>153</x:v>
      </x:c>
      <x:c r="E49" s="56" t="str">
        <x:f t="shared" si="1"/>
        <x:v>Correct</x:v>
      </x:c>
      <x:c r="F49" s="31">
        <x:v>5.0</x:v>
      </x:c>
      <x:c r="G49" s="51" t="s">
        <x:v>107</x:v>
      </x:c>
      <x:c r="H49" s="29" t="str">
        <x:f t="array" ref="H49">IF($G49="","",TEXTJOIN("",TRUE,MID($B49,MID($G49,SEQUENCE(LEN($G49),1),1)+0,1)))</x:f>
        <x:v>B</x:v>
      </x:c>
      <x:c r="I49" s="59" t="str">
        <x:f t="shared" si="2"/>
      </x:c>
      <x:c r="J49" s="55"/>
    </x:row>
    <x:row r="50">
      <x:c r="A50" s="47">
        <x:v>41.0</x:v>
      </x:c>
      <x:c r="B50" s="47" t="s">
        <x:v>149</x:v>
      </x:c>
      <x:c r="C50" s="48" t="str">
        <x:f t="array" ref="C50">IFS(D50="","", D50="A","SW", D50="B","SE", D50="C","NW", D50="D","NE",D50="Omit", "")</x:f>
        <x:v>SW</x:v>
      </x:c>
      <x:c r="D50" s="6" t="s">
        <x:v>161</x:v>
      </x:c>
      <x:c r="E50" s="49" t="str">
        <x:f t="shared" si="1"/>
        <x:v>Incorrect</x:v>
      </x:c>
      <x:c r="F50" s="31">
        <x:v>6.0</x:v>
      </x:c>
      <x:c r="G50" s="51" t="s">
        <x:v>189</x:v>
      </x:c>
      <x:c r="H50" s="29" t="str">
        <x:f t="array" ref="H50">IF($G50="","",TEXTJOIN("",TRUE,MID($B50,MID($G50,SEQUENCE(LEN($G50),1),1)+0,1)))</x:f>
        <x:v>Error: #VALUE!</x:v>
      </x:c>
      <x:c r="I50" s="63" t="str">
        <x:f t="shared" si="2"/>
        <x:v>Regressive</x:v>
      </x:c>
      <x:c r="J50" s="55"/>
    </x:row>
    <x:row r="51">
      <x:c r="A51" s="47">
        <x:v>42.0</x:v>
      </x:c>
      <x:c r="B51" s="47" t="s">
        <x:v>152</x:v>
      </x:c>
      <x:c r="C51" s="48" t="str">
        <x:f t="array" ref="C51">IFS(D51="","", D51="A","NE", D51="B","SW", D51="C","SE", D51="D","NW",D51="Omit", "")</x:f>
        <x:v>NE</x:v>
      </x:c>
      <x:c r="D51" s="6" t="s">
        <x:v>161</x:v>
      </x:c>
      <x:c r="E51" s="49" t="str">
        <x:f t="shared" si="1"/>
        <x:v>Incorrect</x:v>
      </x:c>
      <x:c r="F51" s="31">
        <x:v>4.0</x:v>
      </x:c>
      <x:c r="G51" s="51" t="s">
        <x:v>100</x:v>
      </x:c>
      <x:c r="H51" s="29" t="str">
        <x:f t="array" ref="H51">IF($G51="","",TEXTJOIN("",TRUE,MID($B51,MID($G51,SEQUENCE(LEN($G51),1),1)+0,1)))</x:f>
        <x:v>A</x:v>
      </x:c>
      <x:c r="I51" s="63" t="str">
        <x:f t="shared" si="2"/>
        <x:v>Regressive</x:v>
      </x:c>
      <x:c r="J51" s="55"/>
    </x:row>
    <x:row r="52">
      <x:c r="A52" s="47">
        <x:v>43.0</x:v>
      </x:c>
      <x:c r="B52" s="47" t="s">
        <x:v>155</x:v>
      </x:c>
      <x:c r="C52" s="48" t="str">
        <x:f t="array" ref="C52">IFS(D52="","", D52="A","NW", D52="B","NE", D52="C","SW", D52="D","SE",D52="Omit", "")</x:f>
        <x:v>NE</x:v>
      </x:c>
      <x:c r="D52" s="6" t="s">
        <x:v>153</x:v>
      </x:c>
      <x:c r="E52" s="56" t="str">
        <x:f t="shared" si="1"/>
        <x:v>Correct</x:v>
      </x:c>
      <x:c r="F52" s="31">
        <x:v>25.0</x:v>
      </x:c>
      <x:c r="G52" s="51" t="s">
        <x:v>215</x:v>
      </x:c>
      <x:c r="H52" s="29" t="str">
        <x:f t="array" ref="H52">IF($G52="","",TEXTJOIN("",TRUE,MID($B52,MID($G52,SEQUENCE(LEN($G52),1),1)+0,1)))</x:f>
        <x:v>Error: #VALUE!</x:v>
      </x:c>
      <x:c r="I52" s="59" t="str">
        <x:f t="shared" si="2"/>
      </x:c>
      <x:c r="J52" s="55"/>
    </x:row>
    <x:row r="53">
      <x:c r="A53" s="47">
        <x:v>44.0</x:v>
      </x:c>
      <x:c r="B53" s="47" t="s">
        <x:v>158</x:v>
      </x:c>
      <x:c r="C53" s="48" t="str">
        <x:f t="array" ref="C53">IFS(D53="","", D53="A","SE", D53="B","NW", D53="C","NE", D53="D","SW",D53="Omit", "")</x:f>
        <x:v>NW</x:v>
      </x:c>
      <x:c r="D53" s="6" t="s">
        <x:v>153</x:v>
      </x:c>
      <x:c r="E53" s="56" t="str">
        <x:f t="shared" si="1"/>
        <x:v>Correct</x:v>
      </x:c>
      <x:c r="F53" s="31">
        <x:v>54.0</x:v>
      </x:c>
      <x:c r="G53" s="51" t="s">
        <x:v>190</x:v>
      </x:c>
      <x:c r="H53" s="29" t="str">
        <x:f t="array" ref="H53">IF($G53="","",TEXTJOIN("",TRUE,MID($B53,MID($G53,SEQUENCE(LEN($G53),1),1)+0,1)))</x:f>
        <x:v>Error: #VALUE!</x:v>
      </x:c>
      <x:c r="I53" s="59" t="str">
        <x:f t="shared" si="2"/>
      </x:c>
      <x:c r="J53" s="55"/>
    </x:row>
    <x:row r="54">
      <x:c r="A54" s="47">
        <x:v>45.0</x:v>
      </x:c>
      <x:c r="B54" s="47" t="s">
        <x:v>149</x:v>
      </x:c>
      <x:c r="C54" s="48" t="str">
        <x:f t="array" ref="C54">IFS(D54="","", D54="A","SW", D54="B","SE", D54="C","NW", D54="D","NE",D54="Omit", "")</x:f>
        <x:v>SE</x:v>
      </x:c>
      <x:c r="D54" s="6" t="s">
        <x:v>153</x:v>
      </x:c>
      <x:c r="E54" s="56" t="str">
        <x:f t="shared" si="1"/>
        <x:v>Correct</x:v>
      </x:c>
      <x:c r="F54" s="31">
        <x:v>27.0</x:v>
      </x:c>
      <x:c r="G54" s="51" t="s">
        <x:v>238</x:v>
      </x:c>
      <x:c r="H54" s="29" t="str">
        <x:f t="array" ref="H54">IF($G54="","",TEXTJOIN("",TRUE,MID($B54,MID($G54,SEQUENCE(LEN($G54),1),1)+0,1)))</x:f>
        <x:v>Error: #VALUE!</x:v>
      </x:c>
      <x:c r="I54" s="59" t="str">
        <x:f t="shared" si="2"/>
      </x:c>
      <x:c r="J54" s="55"/>
    </x:row>
    <x:row r="55">
      <x:c r="A55" s="47">
        <x:v>46.0</x:v>
      </x:c>
      <x:c r="B55" s="47" t="s">
        <x:v>152</x:v>
      </x:c>
      <x:c r="C55" s="48" t="str">
        <x:f t="array" ref="C55">IFS(D55="","", D55="A","NE", D55="B","SW", D55="C","SE", D55="D","NW",D55="Omit", "")</x:f>
        <x:v>SW</x:v>
      </x:c>
      <x:c r="D55" s="6" t="s">
        <x:v>153</x:v>
      </x:c>
      <x:c r="E55" s="56" t="str">
        <x:f t="shared" si="1"/>
        <x:v>Correct</x:v>
      </x:c>
      <x:c r="F55" s="31">
        <x:v>12.0</x:v>
      </x:c>
      <x:c r="G55" s="51" t="s">
        <x:v>220</x:v>
      </x:c>
      <x:c r="H55" s="29" t="str">
        <x:f t="array" ref="H55">IF($G55="","",TEXTJOIN("",TRUE,MID($B55,MID($G55,SEQUENCE(LEN($G55),1),1)+0,1)))</x:f>
        <x:v>Error: #VALUE!</x:v>
      </x:c>
      <x:c r="I55" s="59" t="str">
        <x:f t="shared" si="2"/>
      </x:c>
      <x:c r="J55" s="55"/>
    </x:row>
    <x:row r="56">
      <x:c r="A56" s="47">
        <x:v>47.0</x:v>
      </x:c>
      <x:c r="B56" s="47" t="s">
        <x:v>155</x:v>
      </x:c>
      <x:c r="C56" s="48" t="str">
        <x:f t="array" ref="C56">IFS(D56="","", D56="A","NW", D56="B","NE", D56="C","SW", D56="D","SE",D56="Omit", "")</x:f>
        <x:v>NE</x:v>
      </x:c>
      <x:c r="D56" s="6" t="s">
        <x:v>153</x:v>
      </x:c>
      <x:c r="E56" s="56" t="str">
        <x:f t="shared" si="1"/>
        <x:v>Correct</x:v>
      </x:c>
      <x:c r="F56" s="31">
        <x:v>5.0</x:v>
      </x:c>
      <x:c r="G56" s="51" t="s">
        <x:v>203</x:v>
      </x:c>
      <x:c r="H56" s="29" t="str">
        <x:f t="array" ref="H56">IF($G56="","",TEXTJOIN("",TRUE,MID($B56,MID($G56,SEQUENCE(LEN($G56),1),1)+0,1)))</x:f>
        <x:v>Error: #VALUE!</x:v>
      </x:c>
      <x:c r="I56" s="59" t="str">
        <x:f t="shared" si="2"/>
      </x:c>
      <x:c r="J56" s="55"/>
    </x:row>
    <x:row r="57">
      <x:c r="A57" s="47">
        <x:v>48.0</x:v>
      </x:c>
      <x:c r="B57" s="47" t="s">
        <x:v>158</x:v>
      </x:c>
      <x:c r="C57" s="48" t="str">
        <x:f t="array" ref="C57">IFS(D57="","", D57="A","SE", D57="B","NW", D57="C","NE", D57="D","SW",D57="Omit", "")</x:f>
        <x:v>NW</x:v>
      </x:c>
      <x:c r="D57" s="6" t="s">
        <x:v>153</x:v>
      </x:c>
      <x:c r="E57" s="56" t="str">
        <x:f t="shared" si="1"/>
        <x:v>Correct</x:v>
      </x:c>
      <x:c r="F57" s="31">
        <x:v>58.0</x:v>
      </x:c>
      <x:c r="G57" s="51" t="s">
        <x:v>239</x:v>
      </x:c>
      <x:c r="H57" s="29" t="str">
        <x:f t="array" ref="H57">IF($G57="","",TEXTJOIN("",TRUE,MID($B57,MID($G57,SEQUENCE(LEN($G57),1),1)+0,1)))</x:f>
        <x:v>Error: #VALUE!</x:v>
      </x:c>
      <x:c r="I57" s="59" t="str">
        <x:f t="shared" si="2"/>
      </x:c>
      <x:c r="J57" s="55"/>
    </x:row>
    <x:row r="58">
      <x:c r="A58" s="47">
        <x:v>49.0</x:v>
      </x:c>
      <x:c r="B58" s="47" t="s">
        <x:v>149</x:v>
      </x:c>
      <x:c r="C58" s="48" t="str">
        <x:f t="array" ref="C58">IFS(D58="","", D58="A","SW", D58="B","SE", D58="C","NW", D58="D","NE",D58="Omit", "")</x:f>
        <x:v>SE</x:v>
      </x:c>
      <x:c r="D58" s="6" t="s">
        <x:v>153</x:v>
      </x:c>
      <x:c r="E58" s="56" t="str">
        <x:f t="shared" si="1"/>
        <x:v>Correct</x:v>
      </x:c>
      <x:c r="F58" s="31">
        <x:v>18.0</x:v>
      </x:c>
      <x:c r="G58" s="51" t="s">
        <x:v>225</x:v>
      </x:c>
      <x:c r="H58" s="29" t="str">
        <x:f t="array" ref="H58">IF($G58="","",TEXTJOIN("",TRUE,MID($B58,MID($G58,SEQUENCE(LEN($G58),1),1)+0,1)))</x:f>
        <x:v>Error: #VALUE!</x:v>
      </x:c>
      <x:c r="I58" s="59" t="str">
        <x:f t="shared" si="2"/>
      </x:c>
      <x:c r="J58" s="55"/>
    </x:row>
    <x:row r="59">
      <x:c r="A59" s="47">
        <x:v>50.0</x:v>
      </x:c>
      <x:c r="B59" s="47" t="s">
        <x:v>152</x:v>
      </x:c>
      <x:c r="C59" s="48" t="str">
        <x:f t="array" ref="C59">IFS(D59="","", D59="A","NE", D59="B","SW", D59="C","SE", D59="D","NW",D59="Omit", "")</x:f>
      </x:c>
      <x:c r="D59" s="60"/>
      <x:c r="E59" s="61" t="str">
        <x:f t="shared" si="1"/>
      </x:c>
      <x:c r="F59" s="62"/>
      <x:c r="G59" s="55"/>
      <x:c r="H59" s="61" t="str">
        <x:f t="array" ref="H59">IF($G59="","",TEXTJOIN("",TRUE,MID($B59,MID($G59,SEQUENCE(LEN($G59),1),1)+0,1)))</x:f>
      </x:c>
      <x:c r="I59" s="61" t="str">
        <x:f t="shared" ref="I59:I129" si="3">IF(OR(D59="",D59="Omit"),"",IF(D59="B","",IF(D59="A",IF(COUNTIF(D$10:D58,"B")=0,"Perseverative","Regressive"),IF(D59="C","Irrelevant",IF(D59="D","Novel","")))))</x:f>
      </x:c>
      <x:c r="J59" s="55"/>
    </x:row>
    <x:row r="60">
      <x:c r="A60" s="47">
        <x:v>51.0</x:v>
      </x:c>
      <x:c r="B60" s="47" t="s">
        <x:v>155</x:v>
      </x:c>
      <x:c r="C60" s="48" t="str">
        <x:f t="array" ref="C60">IFS(D60="","", D60="A","NW", D60="B","NE", D60="C","SW", D60="D","SE",D60="Omit", "")</x:f>
      </x:c>
      <x:c r="D60" s="60"/>
      <x:c r="E60" s="61" t="str">
        <x:f t="shared" si="1"/>
      </x:c>
      <x:c r="F60" s="62"/>
      <x:c r="G60" s="55"/>
      <x:c r="H60" s="61" t="str">
        <x:f t="array" ref="H60">IF($G60="","",TEXTJOIN("",TRUE,MID($B60,MID($G60,SEQUENCE(LEN($G60),1),1)+0,1)))</x:f>
      </x:c>
      <x:c r="I60" s="61" t="str">
        <x:f t="shared" si="3"/>
      </x:c>
      <x:c r="J60" s="55"/>
    </x:row>
    <x:row r="61">
      <x:c r="A61" s="47">
        <x:v>52.0</x:v>
      </x:c>
      <x:c r="B61" s="47" t="s">
        <x:v>158</x:v>
      </x:c>
      <x:c r="C61" s="48" t="str">
        <x:f t="array" ref="C61">IFS(D61="","", D61="A","SE", D61="B","NW", D61="C","NE", D61="D","SW",D61="Omit", "")</x:f>
      </x:c>
      <x:c r="D61" s="60"/>
      <x:c r="E61" s="61" t="str">
        <x:f t="shared" si="1"/>
      </x:c>
      <x:c r="F61" s="62"/>
      <x:c r="G61" s="55"/>
      <x:c r="H61" s="61" t="str">
        <x:f t="array" ref="H61">IF($G61="","",TEXTJOIN("",TRUE,MID($B61,MID($G61,SEQUENCE(LEN($G61),1),1)+0,1)))</x:f>
      </x:c>
      <x:c r="I61" s="61" t="str">
        <x:f t="shared" si="3"/>
      </x:c>
      <x:c r="J61" s="55"/>
    </x:row>
    <x:row r="62">
      <x:c r="A62" s="47">
        <x:v>53.0</x:v>
      </x:c>
      <x:c r="B62" s="47" t="s">
        <x:v>149</x:v>
      </x:c>
      <x:c r="C62" s="48" t="str">
        <x:f t="array" ref="C62">IFS(D62="","", D62="A","SW", D62="B","SE", D62="C","NW", D62="D","NE",D62="Omit", "")</x:f>
      </x:c>
      <x:c r="D62" s="60"/>
      <x:c r="E62" s="61" t="str">
        <x:f t="shared" si="1"/>
      </x:c>
      <x:c r="F62" s="62"/>
      <x:c r="G62" s="55"/>
      <x:c r="H62" s="61" t="str">
        <x:f t="array" ref="H62">IF($G62="","",TEXTJOIN("",TRUE,MID($B62,MID($G62,SEQUENCE(LEN($G62),1),1)+0,1)))</x:f>
      </x:c>
      <x:c r="I62" s="61" t="str">
        <x:f t="shared" si="3"/>
      </x:c>
      <x:c r="J62" s="55"/>
    </x:row>
    <x:row r="63">
      <x:c r="A63" s="47">
        <x:v>54.0</x:v>
      </x:c>
      <x:c r="B63" s="47" t="s">
        <x:v>152</x:v>
      </x:c>
      <x:c r="C63" s="48" t="str">
        <x:f t="array" ref="C63">IFS(D63="","", D63="A","NE", D63="B","SW", D63="C","SE", D63="D","NW",D63="Omit", "")</x:f>
      </x:c>
      <x:c r="D63" s="60"/>
      <x:c r="E63" s="61" t="str">
        <x:f t="shared" si="1"/>
      </x:c>
      <x:c r="F63" s="62"/>
      <x:c r="G63" s="55"/>
      <x:c r="H63" s="61" t="str">
        <x:f t="array" ref="H63">IF($G63="","",TEXTJOIN("",TRUE,MID($B63,MID($G63,SEQUENCE(LEN($G63),1),1)+0,1)))</x:f>
      </x:c>
      <x:c r="I63" s="61" t="str">
        <x:f t="shared" si="3"/>
      </x:c>
      <x:c r="J63" s="55"/>
    </x:row>
    <x:row r="64">
      <x:c r="A64" s="47">
        <x:v>55.0</x:v>
      </x:c>
      <x:c r="B64" s="47" t="s">
        <x:v>155</x:v>
      </x:c>
      <x:c r="C64" s="48" t="str">
        <x:f t="array" ref="C64">IFS(D64="","", D64="A","NW", D64="B","NE", D64="C","SW", D64="D","SE",D64="Omit", "")</x:f>
      </x:c>
      <x:c r="D64" s="60"/>
      <x:c r="E64" s="61" t="str">
        <x:f t="shared" si="1"/>
      </x:c>
      <x:c r="F64" s="62"/>
      <x:c r="G64" s="55"/>
      <x:c r="H64" s="61" t="str">
        <x:f t="array" ref="H64">IF($G64="","",TEXTJOIN("",TRUE,MID($B64,MID($G64,SEQUENCE(LEN($G64),1),1)+0,1)))</x:f>
      </x:c>
      <x:c r="I64" s="61" t="str">
        <x:f t="shared" si="3"/>
      </x:c>
      <x:c r="J64" s="55"/>
    </x:row>
    <x:row r="65">
      <x:c r="A65" s="47">
        <x:v>56.0</x:v>
      </x:c>
      <x:c r="B65" s="47" t="s">
        <x:v>158</x:v>
      </x:c>
      <x:c r="C65" s="48" t="str">
        <x:f t="array" ref="C65">IFS(D65="","", D65="A","SE", D65="B","NW", D65="C","NE", D65="D","SW",D65="Omit", "")</x:f>
      </x:c>
      <x:c r="D65" s="60"/>
      <x:c r="E65" s="61" t="str">
        <x:f t="shared" si="1"/>
      </x:c>
      <x:c r="F65" s="62"/>
      <x:c r="G65" s="55"/>
      <x:c r="H65" s="61" t="str">
        <x:f t="array" ref="H65">IF($G65="","",TEXTJOIN("",TRUE,MID($B65,MID($G65,SEQUENCE(LEN($G65),1),1)+0,1)))</x:f>
      </x:c>
      <x:c r="I65" s="61" t="str">
        <x:f t="shared" si="3"/>
      </x:c>
      <x:c r="J65" s="55"/>
    </x:row>
    <x:row r="66">
      <x:c r="A66" s="47">
        <x:v>57.0</x:v>
      </x:c>
      <x:c r="B66" s="47" t="s">
        <x:v>149</x:v>
      </x:c>
      <x:c r="C66" s="48" t="str">
        <x:f t="array" ref="C66">IFS(D66="","", D66="A","SW", D66="B","SE", D66="C","NW", D66="D","NE",D66="Omit", "")</x:f>
      </x:c>
      <x:c r="D66" s="60"/>
      <x:c r="E66" s="61" t="str">
        <x:f t="shared" si="1"/>
      </x:c>
      <x:c r="F66" s="62"/>
      <x:c r="G66" s="55"/>
      <x:c r="H66" s="61" t="str">
        <x:f t="array" ref="H66">IF($G66="","",TEXTJOIN("",TRUE,MID($B66,MID($G66,SEQUENCE(LEN($G66),1),1)+0,1)))</x:f>
      </x:c>
      <x:c r="I66" s="61" t="str">
        <x:f t="shared" si="3"/>
      </x:c>
      <x:c r="J66" s="55"/>
    </x:row>
    <x:row r="67">
      <x:c r="A67" s="47">
        <x:v>58.0</x:v>
      </x:c>
      <x:c r="B67" s="47" t="s">
        <x:v>152</x:v>
      </x:c>
      <x:c r="C67" s="48" t="str">
        <x:f t="array" ref="C67">IFS(D67="","", D67="A","NE", D67="B","SW", D67="C","SE", D67="D","NW",D67="Omit", "")</x:f>
      </x:c>
      <x:c r="D67" s="60"/>
      <x:c r="E67" s="61" t="str">
        <x:f t="shared" si="1"/>
      </x:c>
      <x:c r="F67" s="62"/>
      <x:c r="G67" s="55"/>
      <x:c r="H67" s="61" t="str">
        <x:f t="array" ref="H67">IF($G67="","",TEXTJOIN("",TRUE,MID($B67,MID($G67,SEQUENCE(LEN($G67),1),1)+0,1)))</x:f>
      </x:c>
      <x:c r="I67" s="61" t="str">
        <x:f t="shared" si="3"/>
      </x:c>
      <x:c r="J67" s="55"/>
    </x:row>
    <x:row r="68">
      <x:c r="A68" s="47">
        <x:v>59.0</x:v>
      </x:c>
      <x:c r="B68" s="47" t="s">
        <x:v>155</x:v>
      </x:c>
      <x:c r="C68" s="48" t="str">
        <x:f t="array" ref="C68">IFS(D68="","", D68="A","NW", D68="B","NE", D68="C","SW", D68="D","SE",D68="Omit", "")</x:f>
      </x:c>
      <x:c r="D68" s="60"/>
      <x:c r="E68" s="61" t="str">
        <x:f t="shared" si="1"/>
      </x:c>
      <x:c r="F68" s="62"/>
      <x:c r="G68" s="55"/>
      <x:c r="H68" s="61" t="str">
        <x:f t="array" ref="H68">IF($G68="","",TEXTJOIN("",TRUE,MID($B68,MID($G68,SEQUENCE(LEN($G68),1),1)+0,1)))</x:f>
      </x:c>
      <x:c r="I68" s="61" t="str">
        <x:f t="shared" si="3"/>
      </x:c>
      <x:c r="J68" s="55"/>
    </x:row>
    <x:row r="69">
      <x:c r="A69" s="47">
        <x:v>60.0</x:v>
      </x:c>
      <x:c r="B69" s="47" t="s">
        <x:v>158</x:v>
      </x:c>
      <x:c r="C69" s="48" t="str">
        <x:f t="array" ref="C69">IFS(D69="","", D69="A","SE", D69="B","NW", D69="C","NE", D69="D","SW",D69="Omit", "")</x:f>
      </x:c>
      <x:c r="D69" s="60"/>
      <x:c r="E69" s="61" t="str">
        <x:f t="shared" si="1"/>
      </x:c>
      <x:c r="F69" s="62"/>
      <x:c r="G69" s="55"/>
      <x:c r="H69" s="61" t="str">
        <x:f t="array" ref="H69">IF($G69="","",TEXTJOIN("",TRUE,MID($B69,MID($G69,SEQUENCE(LEN($G69),1),1)+0,1)))</x:f>
      </x:c>
      <x:c r="I69" s="61" t="str">
        <x:f t="shared" si="3"/>
      </x:c>
      <x:c r="J69" s="55"/>
    </x:row>
    <x:row r="70">
      <x:c r="A70" s="47">
        <x:v>61.0</x:v>
      </x:c>
      <x:c r="B70" s="47" t="s">
        <x:v>149</x:v>
      </x:c>
      <x:c r="C70" s="48" t="str">
        <x:f t="array" ref="C70">IFS(D70="","", D70="A","NW", D70="B","NE", D70="C","SW", D70="D","SE",D70="Omit", "")</x:f>
      </x:c>
      <x:c r="D70" s="60"/>
      <x:c r="E70" s="61" t="str">
        <x:f t="shared" si="1"/>
      </x:c>
      <x:c r="F70" s="62"/>
      <x:c r="G70" s="55"/>
      <x:c r="H70" s="61" t="str">
        <x:f t="array" ref="H70">IF($G70="","",TEXTJOIN("",TRUE,MID($B70,MID($G70,SEQUENCE(LEN($G70),1),1)+0,1)))</x:f>
      </x:c>
      <x:c r="I70" s="61" t="str">
        <x:f t="shared" si="3"/>
      </x:c>
      <x:c r="J70" s="55"/>
    </x:row>
    <x:row r="71">
      <x:c r="A71" s="47">
        <x:v>62.0</x:v>
      </x:c>
      <x:c r="B71" s="47" t="s">
        <x:v>152</x:v>
      </x:c>
      <x:c r="C71" s="48" t="str">
        <x:f t="array" ref="C71">IFS(D71="","", D71="A","SE", D71="B","NW", D71="C","NE", D71="D","SW",D71="Omit", "")</x:f>
      </x:c>
      <x:c r="D71" s="60"/>
      <x:c r="E71" s="61" t="str">
        <x:f t="shared" si="1"/>
      </x:c>
      <x:c r="F71" s="62"/>
      <x:c r="G71" s="55"/>
      <x:c r="H71" s="61" t="str">
        <x:f t="array" ref="H71">IF($G71="","",TEXTJOIN("",TRUE,MID($B71,MID($G71,SEQUENCE(LEN($G71),1),1)+0,1)))</x:f>
      </x:c>
      <x:c r="I71" s="61" t="str">
        <x:f t="shared" si="3"/>
      </x:c>
      <x:c r="J71" s="55"/>
    </x:row>
    <x:row r="72">
      <x:c r="A72" s="47">
        <x:v>63.0</x:v>
      </x:c>
      <x:c r="B72" s="47" t="s">
        <x:v>155</x:v>
      </x:c>
      <x:c r="C72" s="48" t="str">
        <x:f t="array" ref="C72">IFS(D72="","", D72="A","SW", D72="B","SE", D72="C","NW", D72="D","NE",D72="Omit", "")</x:f>
      </x:c>
      <x:c r="D72" s="60"/>
      <x:c r="E72" s="61" t="str">
        <x:f t="shared" si="1"/>
      </x:c>
      <x:c r="F72" s="62"/>
      <x:c r="G72" s="55"/>
      <x:c r="H72" s="61" t="str">
        <x:f t="array" ref="H72">IF($G72="","",TEXTJOIN("",TRUE,MID($B72,MID($G72,SEQUENCE(LEN($G72),1),1)+0,1)))</x:f>
      </x:c>
      <x:c r="I72" s="61" t="str">
        <x:f t="shared" si="3"/>
      </x:c>
      <x:c r="J72" s="55"/>
    </x:row>
    <x:row r="73">
      <x:c r="A73" s="47">
        <x:v>64.0</x:v>
      </x:c>
      <x:c r="B73" s="47" t="s">
        <x:v>158</x:v>
      </x:c>
      <x:c r="C73" s="48" t="str">
        <x:f t="array" ref="C73">IFS(D73="","", D73="A","NE", D73="B","SW", D73="C","SE", D73="D","NW",D73="Omit", "")</x:f>
      </x:c>
      <x:c r="D73" s="60"/>
      <x:c r="E73" s="61" t="str">
        <x:f t="shared" si="1"/>
      </x:c>
      <x:c r="F73" s="62"/>
      <x:c r="G73" s="55"/>
      <x:c r="H73" s="61" t="str">
        <x:f t="array" ref="H73">IF($G73="","",TEXTJOIN("",TRUE,MID($B73,MID($G73,SEQUENCE(LEN($G73),1),1)+0,1)))</x:f>
      </x:c>
      <x:c r="I73" s="61" t="str">
        <x:f t="shared" si="3"/>
      </x:c>
      <x:c r="J73" s="55"/>
    </x:row>
    <x:row r="74">
      <x:c r="A74" s="47">
        <x:v>65.0</x:v>
      </x:c>
      <x:c r="B74" s="47" t="s">
        <x:v>149</x:v>
      </x:c>
      <x:c r="C74" s="48" t="str">
        <x:f t="array" ref="C74">IFS(D74="","", D74="A","NW", D74="B","NE", D74="C","SW", D74="D","SE",D74="Omit", "")</x:f>
      </x:c>
      <x:c r="D74" s="60"/>
      <x:c r="E74" s="61" t="str">
        <x:f t="shared" si="1"/>
      </x:c>
      <x:c r="F74" s="62"/>
      <x:c r="G74" s="55"/>
      <x:c r="H74" s="61" t="str">
        <x:f t="array" ref="H74">IF($G74="","",TEXTJOIN("",TRUE,MID($B74,MID($G74,SEQUENCE(LEN($G74),1),1)+0,1)))</x:f>
      </x:c>
      <x:c r="I74" s="61" t="str">
        <x:f t="shared" si="3"/>
      </x:c>
      <x:c r="J74" s="55"/>
    </x:row>
    <x:row r="75">
      <x:c r="A75" s="47">
        <x:v>66.0</x:v>
      </x:c>
      <x:c r="B75" s="47" t="s">
        <x:v>152</x:v>
      </x:c>
      <x:c r="C75" s="48" t="str">
        <x:f t="array" ref="C75">IFS(D75="","", D75="A","SE", D75="B","NW", D75="C","NE", D75="D","SW",D75="Omit", "")</x:f>
      </x:c>
      <x:c r="D75" s="60"/>
      <x:c r="E75" s="61" t="str">
        <x:f t="shared" si="1"/>
      </x:c>
      <x:c r="F75" s="62"/>
      <x:c r="G75" s="55"/>
      <x:c r="H75" s="61" t="str">
        <x:f t="array" ref="H75">IF($G75="","",TEXTJOIN("",TRUE,MID($B75,MID($G75,SEQUENCE(LEN($G75),1),1)+0,1)))</x:f>
      </x:c>
      <x:c r="I75" s="61" t="str">
        <x:f t="shared" si="3"/>
      </x:c>
      <x:c r="J75" s="55"/>
    </x:row>
    <x:row r="76">
      <x:c r="A76" s="47">
        <x:v>67.0</x:v>
      </x:c>
      <x:c r="B76" s="47" t="s">
        <x:v>155</x:v>
      </x:c>
      <x:c r="C76" s="48" t="str">
        <x:f t="array" ref="C76">IFS(D76="","", D76="A","SW", D76="B","SE", D76="C","NW", D76="D","NE",D76="Omit", "")</x:f>
      </x:c>
      <x:c r="D76" s="60"/>
      <x:c r="E76" s="61" t="str">
        <x:f t="shared" si="1"/>
      </x:c>
      <x:c r="F76" s="62"/>
      <x:c r="G76" s="55"/>
      <x:c r="H76" s="61" t="str">
        <x:f t="array" ref="H76">IF($G76="","",TEXTJOIN("",TRUE,MID($B76,MID($G76,SEQUENCE(LEN($G76),1),1)+0,1)))</x:f>
      </x:c>
      <x:c r="I76" s="61" t="str">
        <x:f t="shared" si="3"/>
      </x:c>
      <x:c r="J76" s="55"/>
    </x:row>
    <x:row r="77">
      <x:c r="A77" s="47">
        <x:v>68.0</x:v>
      </x:c>
      <x:c r="B77" s="47" t="s">
        <x:v>158</x:v>
      </x:c>
      <x:c r="C77" s="48" t="str">
        <x:f t="array" ref="C77">IFS(D77="","", D77="A","NE", D77="B","SW", D77="C","SE", D77="D","NW",D77="Omit", "")</x:f>
      </x:c>
      <x:c r="D77" s="60"/>
      <x:c r="E77" s="61" t="str">
        <x:f t="shared" si="1"/>
      </x:c>
      <x:c r="F77" s="62"/>
      <x:c r="G77" s="55"/>
      <x:c r="H77" s="61" t="str">
        <x:f t="array" ref="H77">IF($G77="","",TEXTJOIN("",TRUE,MID($B77,MID($G77,SEQUENCE(LEN($G77),1),1)+0,1)))</x:f>
      </x:c>
      <x:c r="I77" s="61" t="str">
        <x:f t="shared" si="3"/>
      </x:c>
      <x:c r="J77" s="55"/>
    </x:row>
    <x:row r="78">
      <x:c r="A78" s="47">
        <x:v>69.0</x:v>
      </x:c>
      <x:c r="B78" s="47" t="s">
        <x:v>149</x:v>
      </x:c>
      <x:c r="C78" s="48" t="str">
        <x:f t="array" ref="C78">IFS(D78="","", D78="A","NW", D78="B","NE", D78="C","SW", D78="D","SE",D78="Omit", "")</x:f>
      </x:c>
      <x:c r="D78" s="60"/>
      <x:c r="E78" s="61" t="str">
        <x:f t="shared" si="1"/>
      </x:c>
      <x:c r="F78" s="62"/>
      <x:c r="G78" s="55"/>
      <x:c r="H78" s="61" t="str">
        <x:f t="array" ref="H78">IF($G78="","",TEXTJOIN("",TRUE,MID($B78,MID($G78,SEQUENCE(LEN($G78),1),1)+0,1)))</x:f>
      </x:c>
      <x:c r="I78" s="61" t="str">
        <x:f t="shared" si="3"/>
      </x:c>
      <x:c r="J78" s="55"/>
    </x:row>
    <x:row r="79">
      <x:c r="A79" s="47">
        <x:v>70.0</x:v>
      </x:c>
      <x:c r="B79" s="47" t="s">
        <x:v>152</x:v>
      </x:c>
      <x:c r="C79" s="48" t="str">
        <x:f t="array" ref="C79">IFS(D79="","", D79="A","SE", D79="B","NW", D79="C","NE", D79="D","SW",D79="Omit", "")</x:f>
      </x:c>
      <x:c r="D79" s="60"/>
      <x:c r="E79" s="61" t="str">
        <x:f t="shared" si="1"/>
      </x:c>
      <x:c r="F79" s="62"/>
      <x:c r="G79" s="55"/>
      <x:c r="H79" s="61" t="str">
        <x:f t="array" ref="H79">IF($G79="","",TEXTJOIN("",TRUE,MID($B79,MID($G79,SEQUENCE(LEN($G79),1),1)+0,1)))</x:f>
      </x:c>
      <x:c r="I79" s="61" t="str">
        <x:f t="shared" si="3"/>
      </x:c>
      <x:c r="J79" s="55"/>
    </x:row>
    <x:row r="80">
      <x:c r="A80" s="47">
        <x:v>71.0</x:v>
      </x:c>
      <x:c r="B80" s="47" t="s">
        <x:v>155</x:v>
      </x:c>
      <x:c r="C80" s="48" t="str">
        <x:f t="array" ref="C80">IFS(D80="","", D80="A","SW", D80="B","SE", D80="C","NW", D80="D","NE",D80="Omit", "")</x:f>
      </x:c>
      <x:c r="D80" s="60"/>
      <x:c r="E80" s="61" t="str">
        <x:f t="shared" si="1"/>
      </x:c>
      <x:c r="F80" s="17"/>
      <x:c r="G80" s="17"/>
      <x:c r="H80" s="61" t="str">
        <x:f t="array" ref="H80">IF($G80="","",TEXTJOIN("",TRUE,MID($B80,MID($G80,SEQUENCE(LEN($G80),1),1)+0,1)))</x:f>
      </x:c>
      <x:c r="I80" s="61" t="str">
        <x:f t="shared" si="3"/>
      </x:c>
      <x:c r="J80" s="17"/>
    </x:row>
    <x:row r="81">
      <x:c r="A81" s="47">
        <x:v>72.0</x:v>
      </x:c>
      <x:c r="B81" s="47" t="s">
        <x:v>158</x:v>
      </x:c>
      <x:c r="C81" s="48" t="str">
        <x:f t="array" ref="C81">IFS(D81="","", D81="A","NE", D81="B","SW", D81="C","SE", D81="D","NW",D81="Omit", "")</x:f>
      </x:c>
      <x:c r="D81" s="60"/>
      <x:c r="E81" s="61" t="str">
        <x:f t="shared" si="1"/>
      </x:c>
      <x:c r="F81" s="17"/>
      <x:c r="G81" s="17"/>
      <x:c r="H81" s="61" t="str">
        <x:f t="array" ref="H81">IF($G81="","",TEXTJOIN("",TRUE,MID($B81,MID($G81,SEQUENCE(LEN($G81),1),1)+0,1)))</x:f>
      </x:c>
      <x:c r="I81" s="61" t="str">
        <x:f t="shared" si="3"/>
      </x:c>
      <x:c r="J81" s="17"/>
    </x:row>
    <x:row r="82">
      <x:c r="A82" s="47">
        <x:v>73.0</x:v>
      </x:c>
      <x:c r="B82" s="47" t="s">
        <x:v>149</x:v>
      </x:c>
      <x:c r="C82" s="48" t="str">
        <x:f t="array" ref="C82">IFS(D82="","", D82="A","NW", D82="B","NE", D82="C","SW", D82="D","SE",D82="Omit", "")</x:f>
      </x:c>
      <x:c r="D82" s="60"/>
      <x:c r="E82" s="61" t="str">
        <x:f t="shared" si="1"/>
      </x:c>
      <x:c r="F82" s="17"/>
      <x:c r="G82" s="17"/>
      <x:c r="H82" s="61" t="str">
        <x:f t="array" ref="H82">IF($G82="","",TEXTJOIN("",TRUE,MID($B82,MID($G82,SEQUENCE(LEN($G82),1),1)+0,1)))</x:f>
      </x:c>
      <x:c r="I82" s="61" t="str">
        <x:f t="shared" si="3"/>
      </x:c>
      <x:c r="J82" s="17"/>
    </x:row>
    <x:row r="83">
      <x:c r="A83" s="47">
        <x:v>74.0</x:v>
      </x:c>
      <x:c r="B83" s="47" t="s">
        <x:v>152</x:v>
      </x:c>
      <x:c r="C83" s="48" t="str">
        <x:f t="array" ref="C83">IFS(D83="","", D83="A","SE", D83="B","NW", D83="C","NE", D83="D","SW",D83="Omit", "")</x:f>
      </x:c>
      <x:c r="D83" s="60"/>
      <x:c r="E83" s="61" t="str">
        <x:f t="shared" si="1"/>
      </x:c>
      <x:c r="F83" s="17"/>
      <x:c r="G83" s="17"/>
      <x:c r="H83" s="61" t="str">
        <x:f t="array" ref="H83">IF($G83="","",TEXTJOIN("",TRUE,MID($B83,MID($G83,SEQUENCE(LEN($G83),1),1)+0,1)))</x:f>
      </x:c>
      <x:c r="I83" s="61" t="str">
        <x:f t="shared" si="3"/>
      </x:c>
      <x:c r="J83" s="17"/>
    </x:row>
    <x:row r="84">
      <x:c r="A84" s="47">
        <x:v>75.0</x:v>
      </x:c>
      <x:c r="B84" s="47" t="s">
        <x:v>155</x:v>
      </x:c>
      <x:c r="C84" s="48" t="str">
        <x:f t="array" ref="C84">IFS(D84="","", D84="A","SW", D84="B","SE", D84="C","NW", D84="D","NE",D84="Omit", "")</x:f>
      </x:c>
      <x:c r="D84" s="60"/>
      <x:c r="E84" s="61" t="str">
        <x:f t="shared" si="1"/>
      </x:c>
      <x:c r="F84" s="17"/>
      <x:c r="G84" s="17"/>
      <x:c r="H84" s="61" t="str">
        <x:f t="array" ref="H84">IF($G84="","",TEXTJOIN("",TRUE,MID($B84,MID($G84,SEQUENCE(LEN($G84),1),1)+0,1)))</x:f>
      </x:c>
      <x:c r="I84" s="61" t="str">
        <x:f t="shared" si="3"/>
      </x:c>
      <x:c r="J84" s="17"/>
    </x:row>
    <x:row r="85">
      <x:c r="A85" s="47">
        <x:v>76.0</x:v>
      </x:c>
      <x:c r="B85" s="47" t="s">
        <x:v>158</x:v>
      </x:c>
      <x:c r="C85" s="48" t="str">
        <x:f t="array" ref="C85">IFS(D85="","", D85="A","NE", D85="B","SW", D85="C","SE", D85="D","NW",D85="Omit", "")</x:f>
      </x:c>
      <x:c r="D85" s="60"/>
      <x:c r="E85" s="61" t="str">
        <x:f t="shared" si="1"/>
      </x:c>
      <x:c r="F85" s="17"/>
      <x:c r="G85" s="17"/>
      <x:c r="H85" s="61" t="str">
        <x:f t="array" ref="H85">IF($G85="","",TEXTJOIN("",TRUE,MID($B85,MID($G85,SEQUENCE(LEN($G85),1),1)+0,1)))</x:f>
      </x:c>
      <x:c r="I85" s="61" t="str">
        <x:f t="shared" si="3"/>
      </x:c>
      <x:c r="J85" s="17"/>
    </x:row>
    <x:row r="86">
      <x:c r="A86" s="47">
        <x:v>77.0</x:v>
      </x:c>
      <x:c r="B86" s="47" t="s">
        <x:v>149</x:v>
      </x:c>
      <x:c r="C86" s="48" t="str">
        <x:f t="array" ref="C86">IFS(D86="","", D86="A","NW", D86="B","NE", D86="C","SW", D86="D","SE",D86="Omit", "")</x:f>
      </x:c>
      <x:c r="D86" s="60"/>
      <x:c r="E86" s="61" t="str">
        <x:f t="shared" si="1"/>
      </x:c>
      <x:c r="F86" s="17"/>
      <x:c r="G86" s="17"/>
      <x:c r="H86" s="61" t="str">
        <x:f t="array" ref="H86">IF($G86="","",TEXTJOIN("",TRUE,MID($B86,MID($G86,SEQUENCE(LEN($G86),1),1)+0,1)))</x:f>
      </x:c>
      <x:c r="I86" s="61" t="str">
        <x:f t="shared" si="3"/>
      </x:c>
      <x:c r="J86" s="17"/>
    </x:row>
    <x:row r="87">
      <x:c r="A87" s="47">
        <x:v>78.0</x:v>
      </x:c>
      <x:c r="B87" s="47" t="s">
        <x:v>152</x:v>
      </x:c>
      <x:c r="C87" s="48" t="str">
        <x:f t="array" ref="C87">IFS(D87="","", D87="A","SE", D87="B","NW", D87="C","NE", D87="D","SW",D87="Omit", "")</x:f>
      </x:c>
      <x:c r="D87" s="60"/>
      <x:c r="E87" s="61" t="str">
        <x:f t="shared" si="1"/>
      </x:c>
      <x:c r="F87" s="17"/>
      <x:c r="G87" s="17"/>
      <x:c r="H87" s="61" t="str">
        <x:f t="array" ref="H87">IF($G87="","",TEXTJOIN("",TRUE,MID($B87,MID($G87,SEQUENCE(LEN($G87),1),1)+0,1)))</x:f>
      </x:c>
      <x:c r="I87" s="61" t="str">
        <x:f t="shared" si="3"/>
      </x:c>
      <x:c r="J87" s="17"/>
    </x:row>
    <x:row r="88">
      <x:c r="A88" s="47">
        <x:v>79.0</x:v>
      </x:c>
      <x:c r="B88" s="47" t="s">
        <x:v>155</x:v>
      </x:c>
      <x:c r="C88" s="48" t="str">
        <x:f t="array" ref="C88">IFS(D88="","", D88="A","SW", D88="B","SE", D88="C","NW", D88="D","NE",D88="Omit", "")</x:f>
      </x:c>
      <x:c r="D88" s="60"/>
      <x:c r="E88" s="61" t="str">
        <x:f t="shared" si="1"/>
      </x:c>
      <x:c r="F88" s="17"/>
      <x:c r="G88" s="17"/>
      <x:c r="H88" s="61" t="str">
        <x:f t="array" ref="H88">IF($G88="","",TEXTJOIN("",TRUE,MID($B88,MID($G88,SEQUENCE(LEN($G88),1),1)+0,1)))</x:f>
      </x:c>
      <x:c r="I88" s="61" t="str">
        <x:f t="shared" si="3"/>
      </x:c>
      <x:c r="J88" s="17"/>
    </x:row>
    <x:row r="89">
      <x:c r="A89" s="47">
        <x:v>80.0</x:v>
      </x:c>
      <x:c r="B89" s="47" t="s">
        <x:v>158</x:v>
      </x:c>
      <x:c r="C89" s="48" t="str">
        <x:f t="array" ref="C89">IFS(D89="","", D89="A","NE", D89="B","SW", D89="C","SE", D89="D","NW",D89="Omit", "")</x:f>
      </x:c>
      <x:c r="D89" s="60"/>
      <x:c r="E89" s="61" t="str">
        <x:f t="shared" si="1"/>
      </x:c>
      <x:c r="F89" s="17"/>
      <x:c r="G89" s="17"/>
      <x:c r="H89" s="61" t="str">
        <x:f t="array" ref="H89">IF($G89="","",TEXTJOIN("",TRUE,MID($B89,MID($G89,SEQUENCE(LEN($G89),1),1)+0,1)))</x:f>
      </x:c>
      <x:c r="I89" s="61" t="str">
        <x:f t="shared" si="3"/>
      </x:c>
      <x:c r="J89" s="17"/>
    </x:row>
    <x:row r="90">
      <x:c r="A90" s="47">
        <x:v>81.0</x:v>
      </x:c>
      <x:c r="B90" s="47" t="s">
        <x:v>149</x:v>
      </x:c>
      <x:c r="C90" s="48" t="str">
        <x:f t="array" ref="C90">IFS(D90="","", D90="A","NW", D90="B","NE", D90="C","SW", D90="D","SE",D90="Omit", "")</x:f>
      </x:c>
      <x:c r="D90" s="60"/>
      <x:c r="E90" s="61" t="str">
        <x:f t="shared" si="1"/>
      </x:c>
      <x:c r="F90" s="17"/>
      <x:c r="G90" s="17"/>
      <x:c r="H90" s="61" t="str">
        <x:f t="array" ref="H90">IF($G90="","",TEXTJOIN("",TRUE,MID($B90,MID($G90,SEQUENCE(LEN($G90),1),1)+0,1)))</x:f>
      </x:c>
      <x:c r="I90" s="61" t="str">
        <x:f t="shared" si="3"/>
      </x:c>
      <x:c r="J90" s="17"/>
    </x:row>
    <x:row r="91">
      <x:c r="A91" s="47">
        <x:v>82.0</x:v>
      </x:c>
      <x:c r="B91" s="47" t="s">
        <x:v>152</x:v>
      </x:c>
      <x:c r="C91" s="48" t="str">
        <x:f t="array" ref="C91">IFS(D91="","", D91="A","SE", D91="B","NW", D91="C","NE", D91="D","SW",D91="Omit", "")</x:f>
      </x:c>
      <x:c r="D91" s="60"/>
      <x:c r="E91" s="61" t="str">
        <x:f t="shared" si="1"/>
      </x:c>
      <x:c r="F91" s="17"/>
      <x:c r="G91" s="17"/>
      <x:c r="H91" s="61" t="str">
        <x:f t="array" ref="H91">IF($G91="","",TEXTJOIN("",TRUE,MID($B91,MID($G91,SEQUENCE(LEN($G91),1),1)+0,1)))</x:f>
      </x:c>
      <x:c r="I91" s="61" t="str">
        <x:f t="shared" si="3"/>
      </x:c>
      <x:c r="J91" s="17"/>
    </x:row>
    <x:row r="92">
      <x:c r="A92" s="47">
        <x:v>83.0</x:v>
      </x:c>
      <x:c r="B92" s="47" t="s">
        <x:v>155</x:v>
      </x:c>
      <x:c r="C92" s="48" t="str">
        <x:f t="array" ref="C92">IFS(D92="","", D92="A","SW", D92="B","SE", D92="C","NW", D92="D","NE",D92="Omit", "")</x:f>
      </x:c>
      <x:c r="D92" s="60"/>
      <x:c r="E92" s="61" t="str">
        <x:f t="shared" si="1"/>
      </x:c>
      <x:c r="F92" s="17"/>
      <x:c r="G92" s="17"/>
      <x:c r="H92" s="61" t="str">
        <x:f t="array" ref="H92">IF($G92="","",TEXTJOIN("",TRUE,MID($B92,MID($G92,SEQUENCE(LEN($G92),1),1)+0,1)))</x:f>
      </x:c>
      <x:c r="I92" s="61" t="str">
        <x:f t="shared" si="3"/>
      </x:c>
      <x:c r="J92" s="17"/>
    </x:row>
    <x:row r="93">
      <x:c r="A93" s="47">
        <x:v>84.0</x:v>
      </x:c>
      <x:c r="B93" s="47" t="s">
        <x:v>158</x:v>
      </x:c>
      <x:c r="C93" s="48" t="str">
        <x:f t="array" ref="C93">IFS(D93="","", D93="A","NE", D93="B","SW", D93="C","SE", D93="D","NW",D93="Omit", "")</x:f>
      </x:c>
      <x:c r="D93" s="60"/>
      <x:c r="E93" s="61" t="str">
        <x:f t="shared" si="1"/>
      </x:c>
      <x:c r="F93" s="17"/>
      <x:c r="G93" s="17"/>
      <x:c r="H93" s="61" t="str">
        <x:f t="array" ref="H93">IF($G93="","",TEXTJOIN("",TRUE,MID($B93,MID($G93,SEQUENCE(LEN($G93),1),1)+0,1)))</x:f>
      </x:c>
      <x:c r="I93" s="61" t="str">
        <x:f t="shared" si="3"/>
      </x:c>
      <x:c r="J93" s="17"/>
    </x:row>
    <x:row r="94">
      <x:c r="A94" s="47">
        <x:v>85.0</x:v>
      </x:c>
      <x:c r="B94" s="47" t="s">
        <x:v>149</x:v>
      </x:c>
      <x:c r="C94" s="48" t="str">
        <x:f t="array" ref="C94">IFS(D94="","", D94="A","NW", D94="B","NE", D94="C","SW", D94="D","SE",D94="Omit", "")</x:f>
      </x:c>
      <x:c r="D94" s="60"/>
      <x:c r="E94" s="61" t="str">
        <x:f t="shared" si="1"/>
      </x:c>
      <x:c r="F94" s="17"/>
      <x:c r="G94" s="17"/>
      <x:c r="H94" s="61" t="str">
        <x:f t="array" ref="H94">IF($G94="","",TEXTJOIN("",TRUE,MID($B94,MID($G94,SEQUENCE(LEN($G94),1),1)+0,1)))</x:f>
      </x:c>
      <x:c r="I94" s="61" t="str">
        <x:f t="shared" si="3"/>
      </x:c>
      <x:c r="J94" s="17"/>
    </x:row>
    <x:row r="95">
      <x:c r="A95" s="47">
        <x:v>86.0</x:v>
      </x:c>
      <x:c r="B95" s="47" t="s">
        <x:v>152</x:v>
      </x:c>
      <x:c r="C95" s="48" t="str">
        <x:f t="array" ref="C95">IFS(D95="","", D95="A","SE", D95="B","NW", D95="C","NE", D95="D","SW",D95="Omit", "")</x:f>
      </x:c>
      <x:c r="D95" s="60"/>
      <x:c r="E95" s="61" t="str">
        <x:f t="shared" si="1"/>
      </x:c>
      <x:c r="F95" s="17"/>
      <x:c r="G95" s="17"/>
      <x:c r="H95" s="61" t="str">
        <x:f t="array" ref="H95">IF($G95="","",TEXTJOIN("",TRUE,MID($B95,MID($G95,SEQUENCE(LEN($G95),1),1)+0,1)))</x:f>
      </x:c>
      <x:c r="I95" s="61" t="str">
        <x:f t="shared" si="3"/>
      </x:c>
      <x:c r="J95" s="17"/>
    </x:row>
    <x:row r="96">
      <x:c r="A96" s="47">
        <x:v>87.0</x:v>
      </x:c>
      <x:c r="B96" s="47" t="s">
        <x:v>155</x:v>
      </x:c>
      <x:c r="C96" s="48" t="str">
        <x:f t="array" ref="C96">IFS(D96="","", D96="A","SW", D96="B","SE", D96="C","NW", D96="D","NE",D96="Omit", "")</x:f>
      </x:c>
      <x:c r="D96" s="60"/>
      <x:c r="E96" s="61" t="str">
        <x:f t="shared" si="1"/>
      </x:c>
      <x:c r="F96" s="17"/>
      <x:c r="G96" s="17"/>
      <x:c r="H96" s="61" t="str">
        <x:f t="array" ref="H96">IF($G96="","",TEXTJOIN("",TRUE,MID($B96,MID($G96,SEQUENCE(LEN($G96),1),1)+0,1)))</x:f>
      </x:c>
      <x:c r="I96" s="61" t="str">
        <x:f t="shared" si="3"/>
      </x:c>
      <x:c r="J96" s="17"/>
    </x:row>
    <x:row r="97">
      <x:c r="A97" s="47">
        <x:v>88.0</x:v>
      </x:c>
      <x:c r="B97" s="47" t="s">
        <x:v>158</x:v>
      </x:c>
      <x:c r="C97" s="48" t="str">
        <x:f t="array" ref="C97">IFS(D97="","", D97="A","NE", D97="B","SW", D97="C","SE", D97="D","NW",D97="Omit", "")</x:f>
      </x:c>
      <x:c r="D97" s="60"/>
      <x:c r="E97" s="61" t="str">
        <x:f t="shared" si="1"/>
      </x:c>
      <x:c r="F97" s="17"/>
      <x:c r="G97" s="17"/>
      <x:c r="H97" s="61" t="str">
        <x:f t="array" ref="H97">IF($G97="","",TEXTJOIN("",TRUE,MID($B97,MID($G97,SEQUENCE(LEN($G97),1),1)+0,1)))</x:f>
      </x:c>
      <x:c r="I97" s="61" t="str">
        <x:f t="shared" si="3"/>
      </x:c>
      <x:c r="J97" s="17"/>
    </x:row>
    <x:row r="98">
      <x:c r="A98" s="47">
        <x:v>89.0</x:v>
      </x:c>
      <x:c r="B98" s="47" t="s">
        <x:v>149</x:v>
      </x:c>
      <x:c r="C98" s="48" t="str">
        <x:f t="array" ref="C98">IFS(D98="","", D98="A","NW", D98="B","NE", D98="C","SW", D98="D","SE",D98="Omit", "")</x:f>
      </x:c>
      <x:c r="D98" s="60"/>
      <x:c r="E98" s="61" t="str">
        <x:f t="shared" si="1"/>
      </x:c>
      <x:c r="F98" s="17"/>
      <x:c r="G98" s="17"/>
      <x:c r="H98" s="61" t="str">
        <x:f t="array" ref="H98">IF($G98="","",TEXTJOIN("",TRUE,MID($B98,MID($G98,SEQUENCE(LEN($G98),1),1)+0,1)))</x:f>
      </x:c>
      <x:c r="I98" s="61" t="str">
        <x:f t="shared" si="3"/>
      </x:c>
      <x:c r="J98" s="17"/>
    </x:row>
    <x:row r="99">
      <x:c r="A99" s="47">
        <x:v>90.0</x:v>
      </x:c>
      <x:c r="B99" s="47" t="s">
        <x:v>152</x:v>
      </x:c>
      <x:c r="C99" s="48" t="str">
        <x:f t="array" ref="C99">IFS(D99="","", D99="A","SE", D99="B","NW", D99="C","NE", D99="D","SW",D99="Omit", "")</x:f>
      </x:c>
      <x:c r="D99" s="60"/>
      <x:c r="E99" s="61" t="str">
        <x:f t="shared" si="1"/>
      </x:c>
      <x:c r="F99" s="17"/>
      <x:c r="G99" s="17"/>
      <x:c r="H99" s="61" t="str">
        <x:f t="array" ref="H99">IF($G99="","",TEXTJOIN("",TRUE,MID($B99,MID($G99,SEQUENCE(LEN($G99),1),1)+0,1)))</x:f>
      </x:c>
      <x:c r="I99" s="61" t="str">
        <x:f t="shared" si="3"/>
      </x:c>
      <x:c r="J99" s="17"/>
    </x:row>
    <x:row r="100">
      <x:c r="A100" s="47">
        <x:v>91.0</x:v>
      </x:c>
      <x:c r="B100" s="47" t="s">
        <x:v>155</x:v>
      </x:c>
      <x:c r="C100" s="48" t="str">
        <x:f t="array" ref="C100">IFS(D100="","", D100="A","NW", D100="B","NE", D100="C","SW", D100="D","SE",D100="Omit", "")</x:f>
      </x:c>
      <x:c r="D100" s="60"/>
      <x:c r="E100" s="61" t="str">
        <x:f t="shared" si="1"/>
      </x:c>
      <x:c r="F100" s="17"/>
      <x:c r="G100" s="17"/>
      <x:c r="H100" s="61" t="str">
        <x:f t="array" ref="H100">IF($G100="","",TEXTJOIN("",TRUE,MID($B100,MID($G100,SEQUENCE(LEN($G100),1),1)+0,1)))</x:f>
      </x:c>
      <x:c r="I100" s="61" t="str">
        <x:f t="shared" si="3"/>
      </x:c>
      <x:c r="J100" s="17"/>
    </x:row>
    <x:row r="101">
      <x:c r="A101" s="47">
        <x:v>92.0</x:v>
      </x:c>
      <x:c r="B101" s="47" t="s">
        <x:v>158</x:v>
      </x:c>
      <x:c r="C101" s="48" t="str">
        <x:f t="array" ref="C101">IFS(D101="","", D101="A","SE", D101="B","NW", D101="C","NE", D101="D","SW",D101="Omit", "")</x:f>
      </x:c>
      <x:c r="D101" s="60"/>
      <x:c r="E101" s="61" t="str">
        <x:f t="shared" si="1"/>
      </x:c>
      <x:c r="F101" s="17"/>
      <x:c r="G101" s="17"/>
      <x:c r="H101" s="61" t="str">
        <x:f t="array" ref="H101">IF($G101="","",TEXTJOIN("",TRUE,MID($B101,MID($G101,SEQUENCE(LEN($G101),1),1)+0,1)))</x:f>
      </x:c>
      <x:c r="I101" s="61" t="str">
        <x:f t="shared" si="3"/>
      </x:c>
      <x:c r="J101" s="17"/>
    </x:row>
    <x:row r="102">
      <x:c r="A102" s="47">
        <x:v>93.0</x:v>
      </x:c>
      <x:c r="B102" s="47" t="s">
        <x:v>149</x:v>
      </x:c>
      <x:c r="C102" s="48" t="str">
        <x:f t="array" ref="C102">IFS(D102="","", D102="A","SW", D102="B","SE", D102="C","NW", D102="D","NE",D102="Omit", "")</x:f>
      </x:c>
      <x:c r="D102" s="60"/>
      <x:c r="E102" s="61" t="str">
        <x:f t="shared" si="1"/>
      </x:c>
      <x:c r="F102" s="17"/>
      <x:c r="G102" s="17"/>
      <x:c r="H102" s="61" t="str">
        <x:f t="array" ref="H102">IF($G102="","",TEXTJOIN("",TRUE,MID($B102,MID($G102,SEQUENCE(LEN($G102),1),1)+0,1)))</x:f>
      </x:c>
      <x:c r="I102" s="61" t="str">
        <x:f t="shared" si="3"/>
      </x:c>
      <x:c r="J102" s="17"/>
    </x:row>
    <x:row r="103">
      <x:c r="A103" s="47">
        <x:v>94.0</x:v>
      </x:c>
      <x:c r="B103" s="47" t="s">
        <x:v>152</x:v>
      </x:c>
      <x:c r="C103" s="48" t="str">
        <x:f t="array" ref="C103">IFS(D103="","", D103="A","NE", D103="B","SW", D103="C","SE", D103="D","NW",D103="Omit", "")</x:f>
      </x:c>
      <x:c r="D103" s="60"/>
      <x:c r="E103" s="61" t="str">
        <x:f t="shared" si="1"/>
      </x:c>
      <x:c r="F103" s="17"/>
      <x:c r="G103" s="17"/>
      <x:c r="H103" s="61" t="str">
        <x:f t="array" ref="H103">IF($G103="","",TEXTJOIN("",TRUE,MID($B103,MID($G103,SEQUENCE(LEN($G103),1),1)+0,1)))</x:f>
      </x:c>
      <x:c r="I103" s="61" t="str">
        <x:f t="shared" si="3"/>
      </x:c>
      <x:c r="J103" s="17"/>
    </x:row>
    <x:row r="104">
      <x:c r="A104" s="47">
        <x:v>95.0</x:v>
      </x:c>
      <x:c r="B104" s="47" t="s">
        <x:v>155</x:v>
      </x:c>
      <x:c r="C104" s="48" t="str">
        <x:f t="array" ref="C104">IFS(D104="","", D104="A","NW", D104="B","NE", D104="C","SW", D104="D","SE",D104="Omit", "")</x:f>
      </x:c>
      <x:c r="D104" s="60"/>
      <x:c r="E104" s="61" t="str">
        <x:f t="shared" si="1"/>
      </x:c>
      <x:c r="F104" s="17"/>
      <x:c r="G104" s="17"/>
      <x:c r="H104" s="61" t="str">
        <x:f t="array" ref="H104">IF($G104="","",TEXTJOIN("",TRUE,MID($B104,MID($G104,SEQUENCE(LEN($G104),1),1)+0,1)))</x:f>
      </x:c>
      <x:c r="I104" s="61" t="str">
        <x:f t="shared" si="3"/>
      </x:c>
      <x:c r="J104" s="17"/>
    </x:row>
    <x:row r="105">
      <x:c r="A105" s="47">
        <x:v>96.0</x:v>
      </x:c>
      <x:c r="B105" s="47" t="s">
        <x:v>158</x:v>
      </x:c>
      <x:c r="C105" s="48" t="str">
        <x:f t="array" ref="C105">IFS(D105="","", D105="A","SE", D105="B","NW", D105="C","NE", D105="D","SW",D105="Omit", "")</x:f>
      </x:c>
      <x:c r="D105" s="60"/>
      <x:c r="E105" s="61" t="str">
        <x:f t="shared" si="1"/>
      </x:c>
      <x:c r="F105" s="17"/>
      <x:c r="G105" s="17"/>
      <x:c r="H105" s="61" t="str">
        <x:f t="array" ref="H105">IF($G105="","",TEXTJOIN("",TRUE,MID($B105,MID($G105,SEQUENCE(LEN($G105),1),1)+0,1)))</x:f>
      </x:c>
      <x:c r="I105" s="61" t="str">
        <x:f t="shared" si="3"/>
      </x:c>
      <x:c r="J105" s="17"/>
    </x:row>
    <x:row r="106">
      <x:c r="A106" s="47">
        <x:v>97.0</x:v>
      </x:c>
      <x:c r="B106" s="47" t="s">
        <x:v>149</x:v>
      </x:c>
      <x:c r="C106" s="48" t="str">
        <x:f t="array" ref="C106">IFS(D106="","", D106="A","SW", D106="B","SE", D106="C","NW", D106="D","NE",D106="Omit", "")</x:f>
      </x:c>
      <x:c r="D106" s="60"/>
      <x:c r="E106" s="61" t="str">
        <x:f t="shared" si="1"/>
      </x:c>
      <x:c r="F106" s="17"/>
      <x:c r="G106" s="17"/>
      <x:c r="H106" s="61" t="str">
        <x:f t="array" ref="H106">IF($G106="","",TEXTJOIN("",TRUE,MID($B106,MID($G106,SEQUENCE(LEN($G106),1),1)+0,1)))</x:f>
      </x:c>
      <x:c r="I106" s="61" t="str">
        <x:f t="shared" si="3"/>
      </x:c>
      <x:c r="J106" s="17"/>
    </x:row>
    <x:row r="107">
      <x:c r="A107" s="47">
        <x:v>98.0</x:v>
      </x:c>
      <x:c r="B107" s="47" t="s">
        <x:v>152</x:v>
      </x:c>
      <x:c r="C107" s="48" t="str">
        <x:f t="array" ref="C107">IFS(D107="","", D107="A","NE", D107="B","SW", D107="C","SE", D107="D","NW",D107="Omit", "")</x:f>
      </x:c>
      <x:c r="D107" s="60"/>
      <x:c r="E107" s="61" t="str">
        <x:f t="shared" si="1"/>
      </x:c>
      <x:c r="F107" s="17"/>
      <x:c r="G107" s="17"/>
      <x:c r="H107" s="61" t="str">
        <x:f t="array" ref="H107">IF($G107="","",TEXTJOIN("",TRUE,MID($B107,MID($G107,SEQUENCE(LEN($G107),1),1)+0,1)))</x:f>
      </x:c>
      <x:c r="I107" s="61" t="str">
        <x:f t="shared" si="3"/>
      </x:c>
      <x:c r="J107" s="17"/>
    </x:row>
    <x:row r="108">
      <x:c r="A108" s="47">
        <x:v>99.0</x:v>
      </x:c>
      <x:c r="B108" s="47" t="s">
        <x:v>155</x:v>
      </x:c>
      <x:c r="C108" s="48" t="str">
        <x:f t="array" ref="C108">IFS(D108="","", D108="A","NW", D108="B","NE", D108="C","SW", D108="D","SE",D108="Omit", "")</x:f>
      </x:c>
      <x:c r="D108" s="60"/>
      <x:c r="E108" s="61" t="str">
        <x:f t="shared" si="1"/>
      </x:c>
      <x:c r="F108" s="17"/>
      <x:c r="G108" s="17"/>
      <x:c r="H108" s="61" t="str">
        <x:f t="array" ref="H108">IF($G108="","",TEXTJOIN("",TRUE,MID($B108,MID($G108,SEQUENCE(LEN($G108),1),1)+0,1)))</x:f>
      </x:c>
      <x:c r="I108" s="61" t="str">
        <x:f t="shared" si="3"/>
      </x:c>
      <x:c r="J108" s="17"/>
    </x:row>
    <x:row r="109">
      <x:c r="A109" s="47">
        <x:v>100.0</x:v>
      </x:c>
      <x:c r="B109" s="47" t="s">
        <x:v>158</x:v>
      </x:c>
      <x:c r="C109" s="48" t="str">
        <x:f t="array" ref="C109">IFS(D109="","", D109="A","SE", D109="B","NW", D109="C","NE", D109="D","SW",D109="Omit", "")</x:f>
      </x:c>
      <x:c r="D109" s="60"/>
      <x:c r="E109" s="61" t="str">
        <x:f t="shared" si="1"/>
      </x:c>
      <x:c r="F109" s="17"/>
      <x:c r="G109" s="17"/>
      <x:c r="H109" s="61" t="str">
        <x:f t="array" ref="H109">IF($G109="","",TEXTJOIN("",TRUE,MID($B109,MID($G109,SEQUENCE(LEN($G109),1),1)+0,1)))</x:f>
      </x:c>
      <x:c r="I109" s="61" t="str">
        <x:f t="shared" si="3"/>
      </x:c>
      <x:c r="J109" s="17"/>
    </x:row>
    <x:row r="110">
      <x:c r="A110" s="47">
        <x:v>101.0</x:v>
      </x:c>
      <x:c r="B110" s="47" t="s">
        <x:v>149</x:v>
      </x:c>
      <x:c r="C110" s="48" t="str">
        <x:f t="array" ref="C110">IFS(D110="","", D110="A","SW", D110="B","SE", D110="C","NW", D110="D","NE",D110="Omit", "")</x:f>
      </x:c>
      <x:c r="D110" s="60"/>
      <x:c r="E110" s="61" t="str">
        <x:f t="shared" si="1"/>
      </x:c>
      <x:c r="F110" s="17"/>
      <x:c r="G110" s="17"/>
      <x:c r="H110" s="61" t="str">
        <x:f t="array" ref="H110">IF($G110="","",TEXTJOIN("",TRUE,MID($B110,MID($G110,SEQUENCE(LEN($G110),1),1)+0,1)))</x:f>
      </x:c>
      <x:c r="I110" s="61" t="str">
        <x:f t="shared" si="3"/>
      </x:c>
      <x:c r="J110" s="17"/>
    </x:row>
    <x:row r="111">
      <x:c r="A111" s="47">
        <x:v>102.0</x:v>
      </x:c>
      <x:c r="B111" s="47" t="s">
        <x:v>152</x:v>
      </x:c>
      <x:c r="C111" s="48" t="str">
        <x:f t="array" ref="C111">IFS(D111="","", D111="A","NE", D111="B","SW", D111="C","SE", D111="D","NW",D111="Omit", "")</x:f>
      </x:c>
      <x:c r="D111" s="60"/>
      <x:c r="E111" s="61" t="str">
        <x:f t="shared" si="1"/>
      </x:c>
      <x:c r="F111" s="17"/>
      <x:c r="G111" s="17"/>
      <x:c r="H111" s="61" t="str">
        <x:f t="array" ref="H111">IF($G111="","",TEXTJOIN("",TRUE,MID($B111,MID($G111,SEQUENCE(LEN($G111),1),1)+0,1)))</x:f>
      </x:c>
      <x:c r="I111" s="61" t="str">
        <x:f t="shared" si="3"/>
      </x:c>
      <x:c r="J111" s="17"/>
    </x:row>
    <x:row r="112">
      <x:c r="A112" s="47">
        <x:v>103.0</x:v>
      </x:c>
      <x:c r="B112" s="47" t="s">
        <x:v>155</x:v>
      </x:c>
      <x:c r="C112" s="48" t="str">
        <x:f t="array" ref="C112">IFS(D112="","", D112="A","NW", D112="B","NE", D112="C","SW", D112="D","SE",D112="Omit", "")</x:f>
      </x:c>
      <x:c r="D112" s="60"/>
      <x:c r="E112" s="61" t="str">
        <x:f t="shared" si="1"/>
      </x:c>
      <x:c r="F112" s="17"/>
      <x:c r="G112" s="17"/>
      <x:c r="H112" s="61" t="str">
        <x:f t="array" ref="H112">IF($G112="","",TEXTJOIN("",TRUE,MID($B112,MID($G112,SEQUENCE(LEN($G112),1),1)+0,1)))</x:f>
      </x:c>
      <x:c r="I112" s="61" t="str">
        <x:f t="shared" si="3"/>
      </x:c>
      <x:c r="J112" s="17"/>
    </x:row>
    <x:row r="113">
      <x:c r="A113" s="47">
        <x:v>104.0</x:v>
      </x:c>
      <x:c r="B113" s="47" t="s">
        <x:v>158</x:v>
      </x:c>
      <x:c r="C113" s="48" t="str">
        <x:f t="array" ref="C113">IFS(D113="","", D113="A","SE", D113="B","NW", D113="C","NE", D113="D","SW",D113="Omit", "")</x:f>
      </x:c>
      <x:c r="D113" s="60"/>
      <x:c r="E113" s="61" t="str">
        <x:f t="shared" si="1"/>
      </x:c>
      <x:c r="F113" s="17"/>
      <x:c r="G113" s="17"/>
      <x:c r="H113" s="61" t="str">
        <x:f t="array" ref="H113">IF($G113="","",TEXTJOIN("",TRUE,MID($B113,MID($G113,SEQUENCE(LEN($G113),1),1)+0,1)))</x:f>
      </x:c>
      <x:c r="I113" s="61" t="str">
        <x:f t="shared" si="3"/>
      </x:c>
      <x:c r="J113" s="17"/>
    </x:row>
    <x:row r="114">
      <x:c r="A114" s="47">
        <x:v>105.0</x:v>
      </x:c>
      <x:c r="B114" s="47" t="s">
        <x:v>149</x:v>
      </x:c>
      <x:c r="C114" s="48" t="str">
        <x:f t="array" ref="C114">IFS(D114="","", D114="A","SW", D114="B","SE", D114="C","NW", D114="D","NE",D114="Omit", "")</x:f>
      </x:c>
      <x:c r="D114" s="60"/>
      <x:c r="E114" s="61" t="str">
        <x:f t="shared" si="1"/>
      </x:c>
      <x:c r="F114" s="17"/>
      <x:c r="G114" s="17"/>
      <x:c r="H114" s="61" t="str">
        <x:f t="array" ref="H114">IF($G114="","",TEXTJOIN("",TRUE,MID($B114,MID($G114,SEQUENCE(LEN($G114),1),1)+0,1)))</x:f>
      </x:c>
      <x:c r="I114" s="61" t="str">
        <x:f t="shared" si="3"/>
      </x:c>
      <x:c r="J114" s="17"/>
    </x:row>
    <x:row r="115">
      <x:c r="A115" s="47">
        <x:v>106.0</x:v>
      </x:c>
      <x:c r="B115" s="47" t="s">
        <x:v>152</x:v>
      </x:c>
      <x:c r="C115" s="48" t="str">
        <x:f t="array" ref="C115">IFS(D115="","", D115="A","NE", D115="B","SW", D115="C","SE", D115="D","NW",D115="Omit", "")</x:f>
      </x:c>
      <x:c r="D115" s="60"/>
      <x:c r="E115" s="61" t="str">
        <x:f t="shared" si="1"/>
      </x:c>
      <x:c r="F115" s="17"/>
      <x:c r="G115" s="17"/>
      <x:c r="H115" s="61" t="str">
        <x:f t="array" ref="H115">IF($G115="","",TEXTJOIN("",TRUE,MID($B115,MID($G115,SEQUENCE(LEN($G115),1),1)+0,1)))</x:f>
      </x:c>
      <x:c r="I115" s="61" t="str">
        <x:f t="shared" si="3"/>
      </x:c>
      <x:c r="J115" s="17"/>
    </x:row>
    <x:row r="116">
      <x:c r="A116" s="47">
        <x:v>107.0</x:v>
      </x:c>
      <x:c r="B116" s="47" t="s">
        <x:v>155</x:v>
      </x:c>
      <x:c r="C116" s="48" t="str">
        <x:f t="array" ref="C116">IFS(D116="","", D116="A","NW", D116="B","NE", D116="C","SW", D116="D","SE",D116="Omit", "")</x:f>
      </x:c>
      <x:c r="D116" s="60"/>
      <x:c r="E116" s="61" t="str">
        <x:f t="shared" si="1"/>
      </x:c>
      <x:c r="F116" s="17"/>
      <x:c r="G116" s="17"/>
      <x:c r="H116" s="61" t="str">
        <x:f t="array" ref="H116">IF($G116="","",TEXTJOIN("",TRUE,MID($B116,MID($G116,SEQUENCE(LEN($G116),1),1)+0,1)))</x:f>
      </x:c>
      <x:c r="I116" s="61" t="str">
        <x:f t="shared" si="3"/>
      </x:c>
      <x:c r="J116" s="17"/>
    </x:row>
    <x:row r="117">
      <x:c r="A117" s="47">
        <x:v>108.0</x:v>
      </x:c>
      <x:c r="B117" s="47" t="s">
        <x:v>158</x:v>
      </x:c>
      <x:c r="C117" s="48" t="str">
        <x:f t="array" ref="C117">IFS(D117="","", D117="A","SE", D117="B","NW", D117="C","NE", D117="D","SW",D117="Omit", "")</x:f>
      </x:c>
      <x:c r="D117" s="60"/>
      <x:c r="E117" s="61" t="str">
        <x:f t="shared" si="1"/>
      </x:c>
      <x:c r="F117" s="17"/>
      <x:c r="G117" s="17"/>
      <x:c r="H117" s="61" t="str">
        <x:f t="array" ref="H117">IF($G117="","",TEXTJOIN("",TRUE,MID($B117,MID($G117,SEQUENCE(LEN($G117),1),1)+0,1)))</x:f>
      </x:c>
      <x:c r="I117" s="61" t="str">
        <x:f t="shared" si="3"/>
      </x:c>
      <x:c r="J117" s="17"/>
    </x:row>
    <x:row r="118">
      <x:c r="A118" s="47">
        <x:v>109.0</x:v>
      </x:c>
      <x:c r="B118" s="47" t="s">
        <x:v>149</x:v>
      </x:c>
      <x:c r="C118" s="48" t="str">
        <x:f t="array" ref="C118">IFS(D118="","", D118="A","SW", D118="B","SE", D118="C","NW", D118="D","NE",D118="Omit", "")</x:f>
      </x:c>
      <x:c r="D118" s="60"/>
      <x:c r="E118" s="61" t="str">
        <x:f t="shared" si="1"/>
      </x:c>
      <x:c r="F118" s="17"/>
      <x:c r="G118" s="17"/>
      <x:c r="H118" s="61" t="str">
        <x:f t="array" ref="H118">IF($G118="","",TEXTJOIN("",TRUE,MID($B118,MID($G118,SEQUENCE(LEN($G118),1),1)+0,1)))</x:f>
      </x:c>
      <x:c r="I118" s="61" t="str">
        <x:f t="shared" si="3"/>
      </x:c>
      <x:c r="J118" s="17"/>
    </x:row>
    <x:row r="119">
      <x:c r="A119" s="47">
        <x:v>110.0</x:v>
      </x:c>
      <x:c r="B119" s="47" t="s">
        <x:v>152</x:v>
      </x:c>
      <x:c r="C119" s="48" t="str">
        <x:f t="array" ref="C119">IFS(D119="","", D119="A","NE", D119="B","SW", D119="C","SE", D119="D","NW",D119="Omit", "")</x:f>
      </x:c>
      <x:c r="D119" s="60"/>
      <x:c r="E119" s="61" t="str">
        <x:f t="shared" si="1"/>
      </x:c>
      <x:c r="F119" s="17"/>
      <x:c r="G119" s="17"/>
      <x:c r="H119" s="61" t="str">
        <x:f t="array" ref="H119">IF($G119="","",TEXTJOIN("",TRUE,MID($B119,MID($G119,SEQUENCE(LEN($G119),1),1)+0,1)))</x:f>
      </x:c>
      <x:c r="I119" s="61" t="str">
        <x:f t="shared" si="3"/>
      </x:c>
      <x:c r="J119" s="17"/>
    </x:row>
    <x:row r="120">
      <x:c r="A120" s="47">
        <x:v>111.0</x:v>
      </x:c>
      <x:c r="B120" s="47" t="s">
        <x:v>155</x:v>
      </x:c>
      <x:c r="C120" s="48" t="str">
        <x:f t="array" ref="C120">IFS(D120="","", D120="A","NW", D120="B","NE", D120="C","SW", D120="D","SE",D120="Omit", "")</x:f>
      </x:c>
      <x:c r="D120" s="60"/>
      <x:c r="E120" s="61" t="str">
        <x:f t="shared" si="1"/>
      </x:c>
      <x:c r="F120" s="17"/>
      <x:c r="G120" s="17"/>
      <x:c r="H120" s="61" t="str">
        <x:f t="array" ref="H120">IF($G120="","",TEXTJOIN("",TRUE,MID($B120,MID($G120,SEQUENCE(LEN($G120),1),1)+0,1)))</x:f>
      </x:c>
      <x:c r="I120" s="61" t="str">
        <x:f t="shared" si="3"/>
      </x:c>
      <x:c r="J120" s="17"/>
    </x:row>
    <x:row r="121">
      <x:c r="A121" s="47">
        <x:v>112.0</x:v>
      </x:c>
      <x:c r="B121" s="47" t="s">
        <x:v>158</x:v>
      </x:c>
      <x:c r="C121" s="48" t="str">
        <x:f t="array" ref="C121">IFS(D121="","", D121="A","SE", D121="B","NW", D121="C","NE", D121="D","SW",D121="Omit", "")</x:f>
      </x:c>
      <x:c r="D121" s="60"/>
      <x:c r="E121" s="61" t="str">
        <x:f t="shared" si="1"/>
      </x:c>
      <x:c r="F121" s="17"/>
      <x:c r="G121" s="17"/>
      <x:c r="H121" s="61" t="str">
        <x:f t="array" ref="H121">IF($G121="","",TEXTJOIN("",TRUE,MID($B121,MID($G121,SEQUENCE(LEN($G121),1),1)+0,1)))</x:f>
      </x:c>
      <x:c r="I121" s="61" t="str">
        <x:f t="shared" si="3"/>
      </x:c>
      <x:c r="J121" s="17"/>
    </x:row>
    <x:row r="122">
      <x:c r="A122" s="47">
        <x:v>113.0</x:v>
      </x:c>
      <x:c r="B122" s="47" t="s">
        <x:v>149</x:v>
      </x:c>
      <x:c r="C122" s="48" t="str">
        <x:f t="array" ref="C122">IFS(D122="","", D122="A","SW", D122="B","SE", D122="C","NW", D122="D","NE",D122="Omit", "")</x:f>
      </x:c>
      <x:c r="D122" s="60"/>
      <x:c r="E122" s="61" t="str">
        <x:f t="shared" si="1"/>
      </x:c>
      <x:c r="F122" s="17"/>
      <x:c r="G122" s="17"/>
      <x:c r="H122" s="61" t="str">
        <x:f t="array" ref="H122">IF($G122="","",TEXTJOIN("",TRUE,MID($B122,MID($G122,SEQUENCE(LEN($G122),1),1)+0,1)))</x:f>
      </x:c>
      <x:c r="I122" s="61" t="str">
        <x:f t="shared" si="3"/>
      </x:c>
      <x:c r="J122" s="17"/>
    </x:row>
    <x:row r="123">
      <x:c r="A123" s="47">
        <x:v>114.0</x:v>
      </x:c>
      <x:c r="B123" s="47" t="s">
        <x:v>152</x:v>
      </x:c>
      <x:c r="C123" s="48" t="str">
        <x:f t="array" ref="C123">IFS(D123="","", D123="A","NE", D123="B","SW", D123="C","SE", D123="D","NW",D123="Omit", "")</x:f>
      </x:c>
      <x:c r="D123" s="60"/>
      <x:c r="E123" s="61" t="str">
        <x:f t="shared" si="1"/>
      </x:c>
      <x:c r="F123" s="17"/>
      <x:c r="G123" s="17"/>
      <x:c r="H123" s="61" t="str">
        <x:f t="array" ref="H123">IF($G123="","",TEXTJOIN("",TRUE,MID($B123,MID($G123,SEQUENCE(LEN($G123),1),1)+0,1)))</x:f>
      </x:c>
      <x:c r="I123" s="61" t="str">
        <x:f t="shared" si="3"/>
      </x:c>
      <x:c r="J123" s="17"/>
    </x:row>
    <x:row r="124">
      <x:c r="A124" s="47">
        <x:v>115.0</x:v>
      </x:c>
      <x:c r="B124" s="47" t="s">
        <x:v>155</x:v>
      </x:c>
      <x:c r="C124" s="48" t="str">
        <x:f t="array" ref="C124">IFS(D124="","", D124="A","NW", D124="B","NE", D124="C","SW", D124="D","SE",D124="Omit", "")</x:f>
      </x:c>
      <x:c r="D124" s="60"/>
      <x:c r="E124" s="61" t="str">
        <x:f t="shared" si="1"/>
      </x:c>
      <x:c r="F124" s="17"/>
      <x:c r="G124" s="17"/>
      <x:c r="H124" s="61" t="str">
        <x:f t="array" ref="H124">IF($G124="","",TEXTJOIN("",TRUE,MID($B124,MID($G124,SEQUENCE(LEN($G124),1),1)+0,1)))</x:f>
      </x:c>
      <x:c r="I124" s="61" t="str">
        <x:f t="shared" si="3"/>
      </x:c>
      <x:c r="J124" s="17"/>
    </x:row>
    <x:row r="125">
      <x:c r="A125" s="47">
        <x:v>116.0</x:v>
      </x:c>
      <x:c r="B125" s="47" t="s">
        <x:v>158</x:v>
      </x:c>
      <x:c r="C125" s="48" t="str">
        <x:f t="array" ref="C125">IFS(D125="","", D125="A","SE", D125="B","NW", D125="C","NE", D125="D","SW",D125="Omit", "")</x:f>
      </x:c>
      <x:c r="D125" s="60"/>
      <x:c r="E125" s="61" t="str">
        <x:f t="shared" si="1"/>
      </x:c>
      <x:c r="F125" s="17"/>
      <x:c r="G125" s="17"/>
      <x:c r="H125" s="61" t="str">
        <x:f t="array" ref="H125">IF($G125="","",TEXTJOIN("",TRUE,MID($B125,MID($G125,SEQUENCE(LEN($G125),1),1)+0,1)))</x:f>
      </x:c>
      <x:c r="I125" s="61" t="str">
        <x:f t="shared" si="3"/>
      </x:c>
      <x:c r="J125" s="17"/>
    </x:row>
    <x:row r="126">
      <x:c r="A126" s="47">
        <x:v>117.0</x:v>
      </x:c>
      <x:c r="B126" s="47" t="s">
        <x:v>149</x:v>
      </x:c>
      <x:c r="C126" s="48" t="str">
        <x:f t="array" ref="C126">IFS(D126="","", D126="A","SW", D126="B","SE", D126="C","NW", D126="D","NE",D126="Omit", "")</x:f>
      </x:c>
      <x:c r="D126" s="60"/>
      <x:c r="E126" s="61" t="str">
        <x:f t="shared" si="1"/>
      </x:c>
      <x:c r="F126" s="17"/>
      <x:c r="G126" s="17"/>
      <x:c r="H126" s="61" t="str">
        <x:f t="array" ref="H126">IF($G126="","",TEXTJOIN("",TRUE,MID($B126,MID($G126,SEQUENCE(LEN($G126),1),1)+0,1)))</x:f>
      </x:c>
      <x:c r="I126" s="61" t="str">
        <x:f t="shared" si="3"/>
      </x:c>
      <x:c r="J126" s="17"/>
    </x:row>
    <x:row r="127">
      <x:c r="A127" s="47">
        <x:v>118.0</x:v>
      </x:c>
      <x:c r="B127" s="47" t="s">
        <x:v>152</x:v>
      </x:c>
      <x:c r="C127" s="48" t="str">
        <x:f t="array" ref="C127">IFS(D127="","", D127="A","NE", D127="B","SW", D127="C","SE", D127="D","NW",D127="Omit", "")</x:f>
      </x:c>
      <x:c r="D127" s="60"/>
      <x:c r="E127" s="61" t="str">
        <x:f t="shared" si="1"/>
      </x:c>
      <x:c r="F127" s="17"/>
      <x:c r="G127" s="17"/>
      <x:c r="H127" s="61" t="str">
        <x:f t="array" ref="H127">IF($G127="","",TEXTJOIN("",TRUE,MID($B127,MID($G127,SEQUENCE(LEN($G127),1),1)+0,1)))</x:f>
      </x:c>
      <x:c r="I127" s="61" t="str">
        <x:f t="shared" si="3"/>
      </x:c>
      <x:c r="J127" s="17"/>
    </x:row>
    <x:row r="128">
      <x:c r="A128" s="47">
        <x:v>119.0</x:v>
      </x:c>
      <x:c r="B128" s="47" t="s">
        <x:v>155</x:v>
      </x:c>
      <x:c r="C128" s="48" t="str">
        <x:f t="array" ref="C128">IFS(D128="","", D128="A","NW", D128="B","NE", D128="C","SW", D128="D","SE",D128="Omit", "")</x:f>
      </x:c>
      <x:c r="D128" s="60"/>
      <x:c r="E128" s="61" t="str">
        <x:f t="shared" si="1"/>
      </x:c>
      <x:c r="F128" s="17"/>
      <x:c r="G128" s="17"/>
      <x:c r="H128" s="61" t="str">
        <x:f t="array" ref="H128">IF($G128="","",TEXTJOIN("",TRUE,MID($B128,MID($G128,SEQUENCE(LEN($G128),1),1)+0,1)))</x:f>
      </x:c>
      <x:c r="I128" s="61" t="str">
        <x:f t="shared" si="3"/>
      </x:c>
      <x:c r="J128" s="17"/>
    </x:row>
    <x:row r="129">
      <x:c r="A129" s="47">
        <x:v>120.0</x:v>
      </x:c>
      <x:c r="B129" s="47" t="s">
        <x:v>158</x:v>
      </x:c>
      <x:c r="C129" s="48" t="str">
        <x:f t="array" ref="C129">IFS(D129="","", D129="A","SE", D129="B","NW", D129="C","NE", D129="D","SW",D129="Omit", "")</x:f>
      </x:c>
      <x:c r="D129" s="60"/>
      <x:c r="E129" s="61" t="str">
        <x:f t="shared" si="1"/>
      </x:c>
      <x:c r="F129" s="17"/>
      <x:c r="G129" s="17"/>
      <x:c r="H129" s="61" t="str">
        <x:f t="array" ref="H129">IF($G129="","",TEXTJOIN("",TRUE,MID($B129,MID($G129,SEQUENCE(LEN($G129),1),1)+0,1)))</x:f>
      </x:c>
      <x:c r="I129" s="61" t="str">
        <x:f t="shared" si="3"/>
      </x:c>
      <x:c r="J129" s="17"/>
    </x:row>
  </x:sheetData>
  <x:mergeCells>
    <x:mergeCell ref="A1:J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</x:conditionalFormatting>
  <x:conditionalFormatting sqref="I10:I129">
    <x:cfRule type="cellIs" dxfId="2" priority="4" operator="equal">
      <x:formula>"Regressive"</x:formula>
    </x:cfRule>
  </x:conditionalFormatting>
  <x:conditionalFormatting sqref="I10:I129">
    <x:cfRule type="cellIs" dxfId="3" priority="5" operator="equal">
      <x:formula>"Irrelevant"</x:formula>
    </x:cfRule>
  </x:conditionalFormatting>
  <x:conditionalFormatting sqref="I10:I129">
    <x:cfRule type="cellIs" dxfId="4" priority="6" operator="equal">
      <x:formula>"Novel"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44.630001068115234" customWidth="1"/>
    <x:col min="2" max="4" width="18.8799991607666" customWidth="1"/>
  </x:cols>
  <x:sheetData>
    <x:row r="1" ht="30" customHeight="1">
      <x:c r="A1" s="11" t="s">
        <x:v>240</x:v>
      </x:c>
      <x:c r="B1" s="2"/>
      <x:c r="C1" s="2"/>
      <x:c r="D1" s="2"/>
      <x:c r="E1" s="9"/>
      <x:c r="F1" s="9"/>
      <x:c r="G1" s="9"/>
      <x:c r="H1" s="9"/>
    </x:row>
    <x:row r="2">
      <x:c r="A2" s="4"/>
      <x:c r="B2" s="4"/>
      <x:c r="C2" s="4"/>
      <x:c r="D2" s="4"/>
      <x:c r="E2" s="9"/>
      <x:c r="F2" s="9"/>
      <x:c r="G2" s="9"/>
      <x:c r="H2" s="9"/>
    </x:row>
    <x:row r="3">
      <x:c r="A3" s="53"/>
      <x:c r="B3" s="53" t="s">
        <x:v>241</x:v>
      </x:c>
      <x:c r="C3" s="44" t="s">
        <x:v>242</x:v>
      </x:c>
      <x:c r="D3" s="44" t="s">
        <x:v>243</x:v>
      </x:c>
    </x:row>
    <x:row r="4">
      <x:c r="A4" s="69" t="s">
        <x:v>244</x:v>
      </x:c>
      <x:c r="B4" s="70" t="n">
        <x:f>COUNTA(DISC!D10:D129)</x:f>
        <x:v>38</x:v>
      </x:c>
      <x:c r="C4" s="61" t="n">
        <x:f>COUNTA(RECALL!D10:D129)</x:f>
        <x:v>11</x:v>
      </x:c>
      <x:c r="D4" s="70" t="n">
        <x:f>COUNTA(REV!D10:D129)</x:f>
        <x:v>48</x:v>
      </x:c>
    </x:row>
    <x:row r="5">
      <x:c r="A5" s="69" t="s">
        <x:v>245</x:v>
      </x:c>
      <x:c r="B5" s="70" t="n">
        <x:f>COUNTIF(DISC!E10:E129,"Correct")</x:f>
        <x:v>20</x:v>
      </x:c>
      <x:c r="C5" s="61" t="n">
        <x:f>COUNTIF(RECALL!E10:E129,"Correct")</x:f>
        <x:v>9</x:v>
      </x:c>
      <x:c r="D5" s="70" t="n">
        <x:f>COUNTIF(REV!E10:E129,"Correct")</x:f>
        <x:v>24</x:v>
      </x:c>
    </x:row>
    <x:row r="6">
      <x:c r="A6" s="69" t="s">
        <x:v>246</x:v>
      </x:c>
      <x:c r="B6" s="70" t="n">
        <x:f>COUNTIF(DISC!E10:E129,"Incorrect")</x:f>
        <x:v>18</x:v>
      </x:c>
      <x:c r="C6" s="61" t="n">
        <x:f>COUNTIF(RECALL!E10:E129,"Incorrect")</x:f>
        <x:v>2</x:v>
      </x:c>
      <x:c r="D6" s="70" t="n">
        <x:f>COUNTIF(REV!E10:E129,"Incorrect")</x:f>
        <x:v>24</x:v>
      </x:c>
    </x:row>
    <x:row r="7">
      <x:c r="A7" s="69" t="s">
        <x:v>247</x:v>
      </x:c>
      <x:c r="B7" s="70" t="n">
        <x:f>IF(COUNTIF(DISC!E10:E129,"Correct")=0,"",COUNTA(DISC!D10:D129)-MATCH("Correct",DISC!E10:E129,0))</x:f>
        <x:v>33</x:v>
      </x:c>
      <x:c r="C7" s="61" t="n">
        <x:f>IF(COUNTIF(RECALL!E10:E129,"Correct")=0,"",COUNTA(RECALL!D10:D129)-MATCH("Correct",RECALL!E10:E129,0))</x:f>
        <x:v>9</x:v>
      </x:c>
      <x:c r="D7" s="70" t="n">
        <x:f>IF(COUNTIF(REV!E10:E129,"Correct")=0,"",COUNTA(REV!D10:D129)-MATCH("Correct",REV!E10:E129,0))</x:f>
        <x:v>45</x:v>
      </x:c>
    </x:row>
    <x:row r="8">
      <x:c r="A8" s="69" t="s">
        <x:v>248</x:v>
      </x:c>
      <x:c r="B8" s="70" t="n">
        <x:f t="array" ref="B8">IF(COUNTIF(DISC!E10:E129,"Correct")=0,COUNTIF(DISC!E10:E129,"Incorrect"),COUNTIF(DISC!E10:INDEX(DISC!E10:E129,MATCH("Correct",DISC!E10:E129,0)),"Incorrect"))</x:f>
        <x:v>0</x:v>
      </x:c>
      <x:c r="C8" s="61" t="n">
        <x:f t="array" ref="C8">IF(COUNTIF(RECALL!E10:E129,"Correct")=0,COUNTIF(RECALL!E10:E129,"Incorrect"),COUNTIF(RECALL!E10:INDEX(RECALL!E10:E129,MATCH("Correct",RECALL!E10:E129,0)),"Incorrect"))</x:f>
        <x:v>0</x:v>
      </x:c>
      <x:c r="D8" s="70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69" t="s">
        <x:v>249</x:v>
      </x:c>
      <x:c r="B9" s="70" t="n">
        <x:f>IF(COUNTIF(DISC!E10:E129,"Correct")=0,"",COUNTIF(DISC!E10:E129,"Incorrect")-B8)</x:f>
        <x:v>18</x:v>
      </x:c>
      <x:c r="C9" s="61" t="n">
        <x:f>IF(COUNTIF(RECALL!E10:E129,"Correct")=0,"",COUNTIF(RECALL!E10:E129,"Incorrect")-C8)</x:f>
        <x:v>2</x:v>
      </x:c>
      <x:c r="D9" s="70" t="n">
        <x:f>IF(COUNTIF(REV!E10:E129,"Correct")=0,"",COUNTIF(REV!E10:E129,"Incorrect")-D8)</x:f>
        <x:v>24</x:v>
      </x:c>
    </x:row>
    <x:row r="10">
      <x:c r="A10" s="69" t="s">
        <x:v>250</x:v>
      </x:c>
      <x:c r="B10" s="70" t="n">
        <x:f>COUNTIF(DISC!D10:D129,"Omit")</x:f>
        <x:v>3</x:v>
      </x:c>
      <x:c r="C10" s="61" t="n">
        <x:f>COUNTIF(RECALL!D10:D129,"Omit")</x:f>
        <x:v>1</x:v>
      </x:c>
      <x:c r="D10" s="70" t="n">
        <x:f>COUNTIF(REV!D10:D129,"Omit")</x:f>
        <x:v>1</x:v>
      </x:c>
    </x:row>
    <x:row r="11">
      <x:c r="A11" s="69" t="s">
        <x:v>251</x:v>
      </x:c>
      <x:c r="B11" s="70" t="n">
        <x:f>SUM(DISC!F10:F129)</x:f>
        <x:v>2650</x:v>
      </x:c>
      <x:c r="C11" s="70" t="n">
        <x:f>SUM(RECALL!F10:F129)</x:f>
        <x:v>707</x:v>
      </x:c>
      <x:c r="D11" s="70" t="n">
        <x:f>SUM(REV!F10:F129)</x:f>
        <x:v>1524</x:v>
      </x:c>
    </x:row>
    <x:row r="12">
      <x:c r="A12" s="69" t="s">
        <x:v>252</x:v>
      </x:c>
      <x:c r="B12" s="71" t="n">
        <x:f>IFERROR(AVERAGE(DISC!F10:F129),"")</x:f>
        <x:v>69.73684210526316</x:v>
      </x:c>
      <x:c r="C12" s="61" t="n">
        <x:f>IFERROR(AVERAGE(RECALL!F10:F129),"")</x:f>
        <x:v>64.27272727272727</x:v>
      </x:c>
      <x:c r="D12" s="71" t="n">
        <x:f>IFERROR(AVERAGE(REV!F10:F129),"")</x:f>
        <x:v>31.75</x:v>
      </x:c>
    </x:row>
    <x:row r="13">
      <x:c r="A13" s="69" t="s">
        <x:v>253</x:v>
      </x:c>
      <x:c r="B13" s="71" t="n">
        <x:f>IFERROR(AVERAGEIF(DISC!E10:E129,"Correct",DISC!F10:F129),"")</x:f>
        <x:v>60.15</x:v>
      </x:c>
      <x:c r="C13" s="61" t="n">
        <x:f>IFERROR(AVERAGEIF(RECALL!E10:E129,"Correct",RECALL!F10:F129),"")</x:f>
        <x:v>57.666666666666664</x:v>
      </x:c>
      <x:c r="D13" s="71" t="n">
        <x:f>IFERROR(AVERAGEIF(REV!E10:E129,"Correct",REV!F10:F129),"")</x:f>
        <x:v>28.291666666666668</x:v>
      </x:c>
    </x:row>
    <x:row r="14">
      <x:c r="A14" s="69" t="s">
        <x:v>254</x:v>
      </x:c>
      <x:c r="B14" s="71" t="n">
        <x:f>IFERROR(AVERAGEIF(DISC!E10:E129,"Incorrect",DISC!F10:F129),"")</x:f>
        <x:v>80.38888888888889</x:v>
      </x:c>
      <x:c r="C14" s="61" t="n">
        <x:f>IFERROR(AVERAGEIF(RECALL!E10:E129,"Incorrect",RECALL!F10:F129),"")</x:f>
        <x:v>94</x:v>
      </x:c>
      <x:c r="D14" s="71" t="n">
        <x:f>IFERROR(AVERAGEIF(REV!E10:E129,"Incorrect",REV!F10:F129),"")</x:f>
        <x:v>35.208333333333336</x:v>
      </x:c>
    </x:row>
    <x:row r="15">
      <x:c r="A15" s="69" t="s">
        <x:v>255</x:v>
      </x:c>
      <x:c r="B15" s="70" t="n">
        <x:f t="array" ref="B15">SUMPRODUCT((DISC!D11:D129&lt;&gt;"")*(DISC!D10:D128&lt;&gt;"")*(DISC!D11:D129=DISC!D10:D128))</x:f>
        <x:v>10</x:v>
      </x:c>
      <x:c r="C15" s="61" t="n">
        <x:f t="array" ref="C15">SUMPRODUCT((RECALL!D11:D129&lt;&gt;"")*(RECALL!D10:D128&lt;&gt;"")*(RECALL!D11:D129=RECALL!D10:D128))</x:f>
        <x:v>8</x:v>
      </x:c>
      <x:c r="D15" s="70" t="n">
        <x:f t="array" ref="D15">SUMPRODUCT((REV!D11:D129&lt;&gt;"")*(REV!D10:D128&lt;&gt;"")*(REV!D11:D129=REV!D10:D128))</x:f>
        <x:v>21</x:v>
      </x:c>
    </x:row>
    <x:row r="16">
      <x:c r="A16" s="69" t="s">
        <x:v>256</x:v>
      </x:c>
      <x:c r="B16" s="70" t="n">
        <x:f t="array" ref="B16">SUMPRODUCT((DISC!C11:C129&lt;&gt;"")*(DISC!C10:C128&lt;&gt;"")*(DISC!C11:C129=DISC!C10:C128))</x:f>
        <x:v>13</x:v>
      </x:c>
      <x:c r="C16" s="61" t="n">
        <x:f t="array" ref="C16">SUMPRODUCT((RECALL!C11:C129&lt;&gt;"")*(RECALL!C10:C128&lt;&gt;"")*(RECALL!C11:C129=RECALL!C10:C128))</x:f>
        <x:v>0</x:v>
      </x:c>
      <x:c r="D16" s="70" t="n">
        <x:f t="array" ref="D16">SUMPRODUCT((REV!C11:C129&lt;&gt;"")*(REV!C10:C128&lt;&gt;"")*(REV!C11:C129=REV!C10:C128))</x:f>
        <x:v>12</x:v>
      </x:c>
    </x:row>
    <x:row r="17">
      <x:c r="A17" s="69" t="s">
        <x:v>257</x:v>
      </x:c>
      <x:c r="B17" s="70" t="e">
        <x:f t="array" ref="B17">SUMPRODUCT(LEN(DISC!$H$10:$H$129)-LEN(SUBSTITUTE(DISC!$H$10:$H$129,"A","")))</x:f>
        <x:v>#VALUE!</x:v>
      </x:c>
      <x:c r="C17" s="61" t="e">
        <x:f t="array" ref="C17">SUMPRODUCT(LEN(RECALL!$H$10:$H$129)-LEN(SUBSTITUTE(RECALL!$H$10:$H$129,"A","")))</x:f>
        <x:v>#VALUE!</x:v>
      </x:c>
      <x:c r="D17" s="70" t="e">
        <x:f t="array" ref="D17">SUMPRODUCT(LEN(REV!$H$10:$H$129)-LEN(SUBSTITUTE(REV!$H$10:$H$129,"A","")))</x:f>
        <x:v>#VALUE!</x:v>
      </x:c>
    </x:row>
    <x:row r="18">
      <x:c r="A18" s="69" t="s">
        <x:v>258</x:v>
      </x:c>
      <x:c r="B18" s="70" t="e">
        <x:f t="array" ref="B18">SUMPRODUCT(LEN(DISC!$H$10:$H$129)-LEN(SUBSTITUTE(DISC!$H$10:$H$129,"B","")))</x:f>
        <x:v>#VALUE!</x:v>
      </x:c>
      <x:c r="C18" s="61" t="e">
        <x:f t="array" ref="C18">SUMPRODUCT(LEN(RECALL!$H$10:$H$129)-LEN(SUBSTITUTE(RECALL!$H$10:$H$129,"B","")))</x:f>
        <x:v>#VALUE!</x:v>
      </x:c>
      <x:c r="D18" s="70" t="e">
        <x:f t="array" ref="D18">SUMPRODUCT(LEN(REV!$H$10:$H$129)-LEN(SUBSTITUTE(REV!$H$10:$H$129,"B","")))</x:f>
        <x:v>#VALUE!</x:v>
      </x:c>
    </x:row>
    <x:row r="19">
      <x:c r="A19" s="69" t="s">
        <x:v>259</x:v>
      </x:c>
      <x:c r="B19" s="70" t="e">
        <x:f t="array" ref="B19">SUMPRODUCT(LEN(DISC!$H$10:$H$129)-LEN(SUBSTITUTE(DISC!$H$10:$H$129,"C","")))</x:f>
        <x:v>#VALUE!</x:v>
      </x:c>
      <x:c r="C19" s="61" t="e">
        <x:f t="array" ref="C19">SUMPRODUCT(LEN(RECALL!$H$10:$H$129)-LEN(SUBSTITUTE(RECALL!$H$10:$H$129,"C","")))</x:f>
        <x:v>#VALUE!</x:v>
      </x:c>
      <x:c r="D19" s="70" t="e">
        <x:f t="array" ref="D19">SUMPRODUCT(LEN(REV!$H$10:$H$129)-LEN(SUBSTITUTE(REV!$H$10:$H$129,"C","")))</x:f>
        <x:v>#VALUE!</x:v>
      </x:c>
    </x:row>
    <x:row r="20">
      <x:c r="A20" s="69" t="s">
        <x:v>260</x:v>
      </x:c>
      <x:c r="B20" s="70" t="e">
        <x:f t="array" ref="B20">SUMPRODUCT(LEN(DISC!$H$10:$H$129)-LEN(SUBSTITUTE(DISC!$H$10:$H$129,"D","")))</x:f>
        <x:v>#VALUE!</x:v>
      </x:c>
      <x:c r="C20" s="61" t="e">
        <x:f t="array" ref="C20">SUMPRODUCT(LEN(RECALL!$H$10:$H$129)-LEN(SUBSTITUTE(RECALL!$H$10:$H$129,"D","")))</x:f>
        <x:v>#VALUE!</x:v>
      </x:c>
      <x:c r="D20" s="70" t="e">
        <x:f t="array" ref="D20">SUMPRODUCT(LEN(REV!$H$10:$H$129)-LEN(SUBSTITUTE(REV!$H$10:$H$129,"D","")))</x:f>
        <x:v>#VALUE!</x:v>
      </x:c>
    </x:row>
    <x:row r="21">
      <x:c r="A21" s="69" t="s">
        <x:v>261</x:v>
      </x:c>
      <x:c r="B21" s="70" t="n">
        <x:f t="array" ref="B21">SUMPRODUCT((DISC!$D$10:$D$129&lt;&gt;"")*(DISC!$H$10:$H$129&lt;&gt;"")*(LEFT(DISC!$H$10:$H$129,1)=DISC!$D$10:$D$129))</x:f>
        <x:v>0</x:v>
      </x:c>
      <x:c r="C21" s="61" t="n">
        <x:f t="array" ref="C21">SUMPRODUCT((RECALL!$D$10:$D$129&lt;&gt;"")*(RECALL!$H$10:$H$129&lt;&gt;"")*(LEFT(RECALL!$H$10:$H$129,1)=RECALL!$D$10:$D$129))</x:f>
        <x:v>0</x:v>
      </x:c>
      <x:c r="D21" s="70" t="n">
        <x:f t="array" ref="D21">SUMPRODUCT((REV!$D$10:$D$129&lt;&gt;"")*(REV!$H$10:$H$129&lt;&gt;"")*(LEFT(REV!$H$10:$H$129,1)=REV!$D$10:$D$129))</x:f>
        <x:v>0</x:v>
      </x:c>
    </x:row>
    <x:row r="22">
      <x:c r="A22" s="69" t="s">
        <x:v>262</x:v>
      </x:c>
      <x:c r="B22" s="71" t="str">
        <x:f t="array" ref="B22">IFERROR(SUMPRODUCT((DISC!$E$10:$E$129="Correct")*LEN(DISC!$G$10:$G$129))/COUNTIF(DISC!$E$10:$E$129,"Correct"),"")</x:f>
      </x:c>
      <x:c r="C22" s="61" t="str">
        <x:f t="array" ref="C22">IFERROR(SUMPRODUCT((RECALL!$E$10:$E$129="Correct")*LEN(RECALL!$G$10:$G$129))/COUNTIF(RECALL!$E$10:$E$129,"Correct"),"")</x:f>
      </x:c>
      <x:c r="D22" s="71" t="str">
        <x:f t="array" ref="D22">IFERROR(SUMPRODUCT((REV!$E$10:$E$129="Correct")*LEN(REV!$G$10:$G$129))/COUNTIF(REV!$E$10:$E$129,"Correct"),"")</x:f>
      </x:c>
    </x:row>
    <x:row r="23">
      <x:c r="A23" s="69" t="s">
        <x:v>263</x:v>
      </x:c>
      <x:c r="B23" s="71" t="str">
        <x:f t="array" ref="B23">IFERROR(SUMPRODUCT((DISC!$E$10:$E$129="Incorrect")*LEN(DISC!$G$10:$G$129))/COUNTIF(DISC!$E$10:$E$129,"Incorrect"),"")</x:f>
      </x:c>
      <x:c r="C23" s="61" t="str">
        <x:f t="array" ref="C23">IFERROR(SUMPRODUCT((RECALL!$E$10:$E$129="Incorrect")*LEN(RECALL!$G$10:$G$129))/COUNTIF(RECALL!$E$10:$E$129,"Incorrect"),"")</x:f>
      </x:c>
      <x:c r="D23" s="71" t="str">
        <x:f t="array" ref="D23">IFERROR(SUMPRODUCT((REV!$E$10:$E$129="Incorrect")*LEN(REV!$G$10:$G$129))/COUNTIF(REV!$E$10:$E$129,"Incorrect"),"")</x:f>
      </x:c>
    </x:row>
    <x:row r="24">
      <x:c r="A24" s="69" t="s">
        <x:v>264</x:v>
      </x:c>
      <x:c r="B24" s="71" t="str">
        <x:f t="array" ref="B24">IFERROR(SUMPRODUCT((DISC!$D$10:$D$129="Omit")*LEN(DISC!$G$10:$G$129))/COUNTIF(DISC!$D$10:$D$129,"Omit"),"")</x:f>
      </x:c>
      <x:c r="C24" s="61" t="str">
        <x:f t="array" ref="C24">IFERROR(SUMPRODUCT((RECALL!$D$10:$D$129="Omit")*LEN(RECALL!$G$10:$G$129))/COUNTIF(RECALL!$D$10:$D$129,"Omit"),"")</x:f>
      </x:c>
      <x:c r="D24" s="71" t="str">
        <x:f t="array" ref="D24">IFERROR(SUMPRODUCT((REV!$D$10:$D$129="Omit")*LEN(REV!$G$10:$G$129))/COUNTIF(REV!$D$10:$D$129,"Omit"),"")</x:f>
      </x:c>
    </x:row>
    <x:row r="25">
      <x:c r="A25" s="69" t="s">
        <x:v>265</x:v>
      </x:c>
      <x:c r="B25" s="72"/>
      <x:c r="C25" s="72"/>
      <x:c r="D25" s="70" t="n">
        <x:f>COUNTIF(REV!$I$10:$I$129,"Perseverative")+COUNTIF(REV!$I$10:$I$129,"Regressive")</x:f>
        <x:v>22</x:v>
      </x:c>
    </x:row>
    <x:row r="26">
      <x:c r="A26" s="69" t="s">
        <x:v>266</x:v>
      </x:c>
      <x:c r="B26" s="72"/>
      <x:c r="C26" s="72"/>
      <x:c r="D26" s="70" t="n">
        <x:f>COUNTIF(REV!$I$10:$I$129,"Perseverative")</x:f>
        <x:v>2</x:v>
      </x:c>
    </x:row>
    <x:row r="27">
      <x:c r="A27" s="69" t="s">
        <x:v>267</x:v>
      </x:c>
      <x:c r="B27" s="72"/>
      <x:c r="C27" s="72"/>
      <x:c r="D27" s="70" t="n">
        <x:f>COUNTIF(REV!$I$10:$I$129,"Regressive")</x:f>
        <x:v>20</x:v>
      </x:c>
    </x:row>
    <x:row r="28">
      <x:c r="A28" s="69" t="s">
        <x:v>268</x:v>
      </x:c>
      <x:c r="B28" s="72"/>
      <x:c r="C28" s="72"/>
      <x:c r="D28" s="70" t="n">
        <x:f>COUNTIF(REV!$I$10:$I$129,"Irrelevant")</x:f>
        <x:v>1</x:v>
      </x:c>
    </x:row>
    <x:row r="29">
      <x:c r="A29" s="69" t="s">
        <x:v>269</x:v>
      </x:c>
      <x:c r="B29" s="72"/>
      <x:c r="C29" s="72"/>
      <x:c r="D29" s="70" t="n">
        <x:f>COUNTIF(REV!$I$10:$I$129,"Novel")</x:f>
        <x:v>0</x:v>
      </x:c>
    </x:row>
    <x:row r="37">
      <x:c r="C37" s="73"/>
    </x:row>
    <x:row r="38">
      <x:c r="C38" s="73"/>
    </x:row>
    <x:row r="39">
      <x:c r="C39" s="73"/>
    </x:row>
    <x:row r="40">
      <x:c r="C40" s="73"/>
    </x:row>
    <x:row r="41">
      <x:c r="C41" s="73"/>
    </x:row>
    <x:row r="81">
      <x:c r="A81" s="74"/>
      <x:c r="B81" s="74"/>
    </x:row>
    <x:row r="82">
      <x:c r="A82" s="74"/>
      <x:c r="B82" s="74"/>
    </x:row>
    <x:row r="83">
      <x:c r="A83" s="74"/>
      <x:c r="B83" s="74"/>
    </x:row>
    <x:row r="84">
      <x:c r="A84" s="74"/>
      <x:c r="B84" s="74"/>
    </x:row>
    <x:row r="85">
      <x:c r="A85" s="74"/>
      <x:c r="B85" s="74"/>
    </x:row>
    <x:row r="86">
      <x:c r="A86" s="74"/>
      <x:c r="B86" s="74"/>
    </x:row>
    <x:row r="87">
      <x:c r="A87" s="74"/>
      <x:c r="B87" s="74"/>
    </x:row>
    <x:row r="88">
      <x:c r="A88" s="74"/>
      <x:c r="B88" s="74"/>
    </x:row>
    <x:row r="89">
      <x:c r="A89" s="74"/>
      <x:c r="B89" s="74"/>
    </x:row>
    <x:row r="90">
      <x:c r="A90" s="74"/>
      <x:c r="B90" s="74"/>
    </x:row>
    <x:row r="91">
      <x:c r="A91" s="74"/>
      <x:c r="B91" s="74"/>
    </x:row>
    <x:row r="92">
      <x:c r="A92" s="74"/>
      <x:c r="B92" s="74"/>
    </x:row>
    <x:row r="93">
      <x:c r="A93" s="74"/>
      <x:c r="B93" s="74"/>
    </x:row>
    <x:row r="94">
      <x:c r="A94" s="74"/>
      <x:c r="B94" s="74"/>
    </x:row>
    <x:row r="95">
      <x:c r="A95" s="74"/>
      <x:c r="B95" s="74"/>
    </x:row>
    <x:row r="96">
      <x:c r="A96" s="74"/>
      <x:c r="B96" s="74"/>
    </x:row>
    <x:row r="97">
      <x:c r="A97" s="74"/>
      <x:c r="B97" s="74"/>
    </x:row>
    <x:row r="98">
      <x:c r="A98" s="74"/>
      <x:c r="B98" s="74"/>
    </x:row>
    <x:row r="99">
      <x:c r="A99" s="74"/>
      <x:c r="B99" s="74"/>
    </x:row>
    <x:row r="100">
      <x:c r="A100" s="74"/>
      <x:c r="B100" s="74"/>
    </x:row>
    <x:row r="101">
      <x:c r="A101" s="74"/>
      <x:c r="B101" s="74"/>
    </x:row>
    <x:row r="102">
      <x:c r="A102" s="74"/>
      <x:c r="B102" s="74"/>
    </x:row>
    <x:row r="103">
      <x:c r="A103" s="74"/>
      <x:c r="B103" s="74"/>
    </x:row>
    <x:row r="104">
      <x:c r="A104" s="74"/>
      <x:c r="B104" s="74"/>
    </x:row>
    <x:row r="105">
      <x:c r="A105" s="74"/>
      <x:c r="B105" s="74"/>
    </x:row>
    <x:row r="106">
      <x:c r="A106" s="74"/>
      <x:c r="B106" s="74"/>
    </x:row>
    <x:row r="107">
      <x:c r="A107" s="74"/>
      <x:c r="B107" s="74"/>
    </x:row>
    <x:row r="108">
      <x:c r="A108" s="74"/>
      <x:c r="B108" s="74"/>
    </x:row>
    <x:row r="109">
      <x:c r="A109" s="74"/>
      <x:c r="B109" s="74"/>
    </x:row>
    <x:row r="110">
      <x:c r="A110" s="74"/>
      <x:c r="B110" s="74"/>
    </x:row>
    <x:row r="111">
      <x:c r="A111" s="74"/>
      <x:c r="B111" s="74"/>
    </x:row>
    <x:row r="112">
      <x:c r="A112" s="74"/>
      <x:c r="B112" s="74"/>
    </x:row>
    <x:row r="113">
      <x:c r="A113" s="74"/>
      <x:c r="B113" s="74"/>
    </x:row>
    <x:row r="114">
      <x:c r="A114" s="74"/>
      <x:c r="B114" s="74"/>
    </x:row>
    <x:row r="115">
      <x:c r="A115" s="74"/>
      <x:c r="B115" s="74"/>
    </x:row>
    <x:row r="116">
      <x:c r="A116" s="74"/>
      <x:c r="B116" s="74"/>
    </x:row>
    <x:row r="117">
      <x:c r="A117" s="74"/>
      <x:c r="B117" s="74"/>
    </x:row>
    <x:row r="118">
      <x:c r="A118" s="74"/>
      <x:c r="B118" s="74"/>
    </x:row>
    <x:row r="119">
      <x:c r="A119" s="74"/>
      <x:c r="B119" s="74"/>
    </x:row>
    <x:row r="120">
      <x:c r="A120" s="74"/>
      <x:c r="B120" s="74"/>
    </x:row>
    <x:row r="121">
      <x:c r="A121" s="74"/>
      <x:c r="B121" s="74"/>
    </x:row>
    <x:row r="122">
      <x:c r="A122" s="74"/>
      <x:c r="B122" s="74"/>
    </x:row>
    <x:row r="123">
      <x:c r="A123" s="74"/>
      <x:c r="B123" s="74"/>
    </x:row>
    <x:row r="124">
      <x:c r="A124" s="74"/>
      <x:c r="B124" s="74"/>
    </x:row>
    <x:row r="125">
      <x:c r="A125" s="74"/>
      <x:c r="B125" s="74"/>
    </x:row>
    <x:row r="126">
      <x:c r="A126" s="74"/>
      <x:c r="B126" s="74"/>
    </x:row>
    <x:row r="127">
      <x:c r="A127" s="74"/>
      <x:c r="B127" s="74"/>
    </x:row>
    <x:row r="128">
      <x:c r="A128" s="74"/>
      <x:c r="B128" s="74"/>
    </x:row>
    <x:row r="129">
      <x:c r="A129" s="74"/>
      <x:c r="B129" s="74"/>
    </x:row>
    <x:row r="130">
      <x:c r="A130" s="74"/>
      <x:c r="B130" s="74"/>
    </x:row>
    <x:row r="131">
      <x:c r="A131" s="74"/>
      <x:c r="B131" s="74"/>
    </x:row>
    <x:row r="132">
      <x:c r="A132" s="74"/>
      <x:c r="B132" s="74"/>
    </x:row>
    <x:row r="133">
      <x:c r="A133" s="74"/>
      <x:c r="B133" s="74"/>
    </x:row>
    <x:row r="134">
      <x:c r="A134" s="74"/>
      <x:c r="B134" s="74"/>
    </x:row>
    <x:row r="135">
      <x:c r="A135" s="74"/>
      <x:c r="B135" s="74"/>
    </x:row>
    <x:row r="136">
      <x:c r="A136" s="74"/>
      <x:c r="B136" s="74"/>
    </x:row>
    <x:row r="137">
      <x:c r="A137" s="74"/>
      <x:c r="B137" s="74"/>
    </x:row>
    <x:row r="138">
      <x:c r="A138" s="74"/>
      <x:c r="B138" s="74"/>
    </x:row>
    <x:row r="139">
      <x:c r="A139" s="74"/>
      <x:c r="B139" s="74"/>
    </x:row>
    <x:row r="140">
      <x:c r="A140" s="74"/>
      <x:c r="B140" s="74"/>
    </x:row>
    <x:row r="141">
      <x:c r="A141" s="74"/>
      <x:c r="B141" s="74"/>
    </x:row>
    <x:row r="142">
      <x:c r="A142" s="74"/>
      <x:c r="B142" s="74"/>
    </x:row>
    <x:row r="143">
      <x:c r="A143" s="74"/>
      <x:c r="B143" s="74"/>
    </x:row>
    <x:row r="144">
      <x:c r="A144" s="74"/>
      <x:c r="B144" s="74"/>
    </x:row>
    <x:row r="145">
      <x:c r="A145" s="74"/>
      <x:c r="B145" s="74"/>
    </x:row>
    <x:row r="146">
      <x:c r="A146" s="74"/>
      <x:c r="B146" s="74"/>
    </x:row>
    <x:row r="147">
      <x:c r="A147" s="74"/>
      <x:c r="B147" s="74"/>
    </x:row>
    <x:row r="148">
      <x:c r="A148" s="74"/>
      <x:c r="B148" s="74"/>
    </x:row>
    <x:row r="149">
      <x:c r="A149" s="74"/>
      <x:c r="B149" s="74"/>
    </x:row>
    <x:row r="150">
      <x:c r="A150" s="74"/>
      <x:c r="B150" s="74"/>
    </x:row>
    <x:row r="151">
      <x:c r="A151" s="74"/>
      <x:c r="B151" s="74"/>
    </x:row>
    <x:row r="152">
      <x:c r="A152" s="74"/>
      <x:c r="B152" s="74"/>
    </x:row>
    <x:row r="153">
      <x:c r="A153" s="74"/>
      <x:c r="B153" s="74"/>
    </x:row>
    <x:row r="154">
      <x:c r="A154" s="74"/>
      <x:c r="B154" s="74"/>
    </x:row>
    <x:row r="155">
      <x:c r="A155" s="74"/>
      <x:c r="B155" s="74"/>
    </x:row>
    <x:row r="156">
      <x:c r="A156" s="74"/>
      <x:c r="B156" s="74"/>
    </x:row>
    <x:row r="157">
      <x:c r="A157" s="74"/>
      <x:c r="B157" s="74"/>
    </x:row>
    <x:row r="158">
      <x:c r="A158" s="74"/>
      <x:c r="B158" s="74"/>
    </x:row>
    <x:row r="159">
      <x:c r="A159" s="74"/>
      <x:c r="B159" s="74"/>
    </x:row>
    <x:row r="160">
      <x:c r="A160" s="74"/>
      <x:c r="B160" s="74"/>
    </x:row>
    <x:row r="161">
      <x:c r="A161" s="74"/>
      <x:c r="B161" s="74"/>
    </x:row>
    <x:row r="162">
      <x:c r="A162" s="74"/>
      <x:c r="B162" s="74"/>
    </x:row>
    <x:row r="163">
      <x:c r="A163" s="74"/>
      <x:c r="B163" s="74"/>
    </x:row>
    <x:row r="164">
      <x:c r="A164" s="74"/>
      <x:c r="B164" s="74"/>
    </x:row>
    <x:row r="165">
      <x:c r="A165" s="74"/>
      <x:c r="B165" s="74"/>
    </x:row>
    <x:row r="166">
      <x:c r="A166" s="74"/>
      <x:c r="B166" s="74"/>
    </x:row>
    <x:row r="167">
      <x:c r="A167" s="74"/>
      <x:c r="B167" s="74"/>
    </x:row>
    <x:row r="168">
      <x:c r="A168" s="74"/>
      <x:c r="B168" s="74"/>
    </x:row>
    <x:row r="169">
      <x:c r="A169" s="74"/>
      <x:c r="B169" s="74"/>
    </x:row>
    <x:row r="170">
      <x:c r="A170" s="74"/>
      <x:c r="B170" s="74"/>
    </x:row>
    <x:row r="171">
      <x:c r="A171" s="74"/>
      <x:c r="B171" s="74"/>
    </x:row>
    <x:row r="172">
      <x:c r="A172" s="74"/>
      <x:c r="B172" s="74"/>
    </x:row>
    <x:row r="173">
      <x:c r="A173" s="74"/>
      <x:c r="B173" s="74"/>
    </x:row>
    <x:row r="174">
      <x:c r="A174" s="74"/>
      <x:c r="B174" s="74"/>
    </x:row>
    <x:row r="175">
      <x:c r="A175" s="74"/>
      <x:c r="B175" s="74"/>
    </x:row>
    <x:row r="176">
      <x:c r="A176" s="74"/>
      <x:c r="B176" s="74"/>
    </x:row>
    <x:row r="177">
      <x:c r="A177" s="74"/>
      <x:c r="B177" s="74"/>
    </x:row>
    <x:row r="178">
      <x:c r="A178" s="74"/>
      <x:c r="B178" s="74"/>
    </x:row>
    <x:row r="179">
      <x:c r="A179" s="74"/>
      <x:c r="B179" s="74"/>
    </x:row>
    <x:row r="180">
      <x:c r="A180" s="74"/>
      <x:c r="B180" s="74"/>
    </x:row>
    <x:row r="181">
      <x:c r="A181" s="74"/>
      <x:c r="B181" s="74"/>
    </x:row>
    <x:row r="182">
      <x:c r="A182" s="74"/>
      <x:c r="B182" s="74"/>
    </x:row>
    <x:row r="183">
      <x:c r="A183" s="74"/>
      <x:c r="B183" s="74"/>
    </x:row>
    <x:row r="184">
      <x:c r="A184" s="74"/>
      <x:c r="B184" s="74"/>
    </x:row>
    <x:row r="185">
      <x:c r="A185" s="74"/>
      <x:c r="B185" s="74"/>
    </x:row>
    <x:row r="186">
      <x:c r="A186" s="74"/>
      <x:c r="B186" s="74"/>
    </x:row>
    <x:row r="187">
      <x:c r="A187" s="74"/>
      <x:c r="B187" s="74"/>
    </x:row>
    <x:row r="188">
      <x:c r="A188" s="74"/>
      <x:c r="B188" s="74"/>
    </x:row>
    <x:row r="189">
      <x:c r="A189" s="74"/>
      <x:c r="B189" s="74"/>
    </x:row>
    <x:row r="190">
      <x:c r="A190" s="74"/>
      <x:c r="B190" s="74"/>
    </x:row>
    <x:row r="191">
      <x:c r="A191" s="74"/>
      <x:c r="B191" s="74"/>
    </x:row>
    <x:row r="192">
      <x:c r="A192" s="74"/>
      <x:c r="B192" s="74"/>
    </x:row>
    <x:row r="193">
      <x:c r="A193" s="74"/>
      <x:c r="B193" s="74"/>
    </x:row>
    <x:row r="194">
      <x:c r="A194" s="74"/>
      <x:c r="B194" s="74"/>
    </x:row>
    <x:row r="195">
      <x:c r="A195" s="74"/>
      <x:c r="B195" s="74"/>
    </x:row>
    <x:row r="196">
      <x:c r="A196" s="74"/>
      <x:c r="B196" s="74"/>
    </x:row>
    <x:row r="197">
      <x:c r="A197" s="74"/>
      <x:c r="B197" s="74"/>
    </x:row>
    <x:row r="198">
      <x:c r="A198" s="74"/>
      <x:c r="B198" s="74"/>
    </x:row>
    <x:row r="199">
      <x:c r="A199" s="74"/>
      <x:c r="B199" s="74"/>
    </x:row>
    <x:row r="200">
      <x:c r="A200" s="74"/>
      <x:c r="B200" s="74"/>
    </x:row>
    <x:row r="201">
      <x:c r="A201" s="74"/>
      <x:c r="B201" s="74"/>
    </x:row>
    <x:row r="202">
      <x:c r="A202" s="74"/>
      <x:c r="B202" s="74"/>
    </x:row>
    <x:row r="203">
      <x:c r="A203" s="74"/>
      <x:c r="B203" s="74"/>
    </x:row>
    <x:row r="204">
      <x:c r="A204" s="74"/>
      <x:c r="B204" s="74"/>
    </x:row>
    <x:row r="205">
      <x:c r="A205" s="74"/>
      <x:c r="B205" s="74"/>
    </x:row>
    <x:row r="206">
      <x:c r="A206" s="74"/>
      <x:c r="B206" s="74"/>
    </x:row>
    <x:row r="207">
      <x:c r="A207" s="74"/>
      <x:c r="B207" s="74"/>
    </x:row>
    <x:row r="208">
      <x:c r="A208" s="74"/>
      <x:c r="B208" s="74"/>
    </x:row>
    <x:row r="209">
      <x:c r="A209" s="74"/>
      <x:c r="B209" s="74"/>
    </x:row>
    <x:row r="210">
      <x:c r="A210" s="74"/>
      <x:c r="B210" s="74"/>
    </x:row>
    <x:row r="211">
      <x:c r="A211" s="74"/>
      <x:c r="B211" s="74"/>
    </x:row>
    <x:row r="212">
      <x:c r="A212" s="74"/>
      <x:c r="B212" s="74"/>
    </x:row>
    <x:row r="213">
      <x:c r="A213" s="74"/>
      <x:c r="B213" s="74"/>
    </x:row>
    <x:row r="214">
      <x:c r="A214" s="74"/>
      <x:c r="B214" s="74"/>
    </x:row>
    <x:row r="215">
      <x:c r="A215" s="74"/>
      <x:c r="B215" s="74"/>
    </x:row>
    <x:row r="216">
      <x:c r="A216" s="74"/>
      <x:c r="B216" s="74"/>
    </x:row>
    <x:row r="217">
      <x:c r="A217" s="74"/>
      <x:c r="B217" s="74"/>
    </x:row>
    <x:row r="218">
      <x:c r="A218" s="74"/>
      <x:c r="B218" s="74"/>
    </x:row>
    <x:row r="219">
      <x:c r="A219" s="74"/>
      <x:c r="B219" s="74"/>
    </x:row>
    <x:row r="220">
      <x:c r="A220" s="74"/>
      <x:c r="B220" s="74"/>
    </x:row>
    <x:row r="221">
      <x:c r="A221" s="74"/>
      <x:c r="B221" s="74"/>
    </x:row>
    <x:row r="222">
      <x:c r="A222" s="74"/>
      <x:c r="B222" s="74"/>
    </x:row>
    <x:row r="223">
      <x:c r="A223" s="74"/>
      <x:c r="B223" s="74"/>
    </x:row>
    <x:row r="224">
      <x:c r="A224" s="74"/>
      <x:c r="B224" s="74"/>
    </x:row>
    <x:row r="225">
      <x:c r="A225" s="74"/>
      <x:c r="B225" s="74"/>
    </x:row>
    <x:row r="226">
      <x:c r="A226" s="74"/>
      <x:c r="B226" s="74"/>
    </x:row>
    <x:row r="227">
      <x:c r="A227" s="74"/>
      <x:c r="B227" s="74"/>
    </x:row>
    <x:row r="228">
      <x:c r="A228" s="74"/>
      <x:c r="B228" s="74"/>
    </x:row>
    <x:row r="229">
      <x:c r="A229" s="74"/>
      <x:c r="B229" s="74"/>
    </x:row>
    <x:row r="230">
      <x:c r="A230" s="74"/>
      <x:c r="B230" s="74"/>
    </x:row>
    <x:row r="231">
      <x:c r="A231" s="74"/>
      <x:c r="B231" s="74"/>
    </x:row>
    <x:row r="232">
      <x:c r="A232" s="74"/>
      <x:c r="B232" s="74"/>
    </x:row>
    <x:row r="233">
      <x:c r="A233" s="74"/>
      <x:c r="B233" s="74"/>
    </x:row>
    <x:row r="234">
      <x:c r="A234" s="74"/>
      <x:c r="B234" s="74"/>
    </x:row>
    <x:row r="235">
      <x:c r="A235" s="74"/>
      <x:c r="B235" s="74"/>
    </x:row>
    <x:row r="236">
      <x:c r="A236" s="74"/>
      <x:c r="B236" s="74"/>
    </x:row>
    <x:row r="237">
      <x:c r="A237" s="74"/>
      <x:c r="B237" s="74"/>
    </x:row>
    <x:row r="238">
      <x:c r="A238" s="74"/>
      <x:c r="B238" s="74"/>
    </x:row>
    <x:row r="239">
      <x:c r="A239" s="74"/>
      <x:c r="B239" s="74"/>
    </x:row>
    <x:row r="240">
      <x:c r="A240" s="74"/>
      <x:c r="B240" s="74"/>
    </x:row>
    <x:row r="241">
      <x:c r="A241" s="74"/>
      <x:c r="B241" s="74"/>
    </x:row>
    <x:row r="242">
      <x:c r="A242" s="74"/>
      <x:c r="B242" s="74"/>
    </x:row>
    <x:row r="243">
      <x:c r="A243" s="74"/>
      <x:c r="B243" s="74"/>
    </x:row>
    <x:row r="244">
      <x:c r="A244" s="74"/>
      <x:c r="B244" s="74"/>
    </x:row>
    <x:row r="245">
      <x:c r="A245" s="74"/>
      <x:c r="B245" s="74"/>
    </x:row>
    <x:row r="246">
      <x:c r="A246" s="74"/>
      <x:c r="B246" s="74"/>
    </x:row>
    <x:row r="247">
      <x:c r="A247" s="74"/>
      <x:c r="B247" s="74"/>
    </x:row>
    <x:row r="248">
      <x:c r="A248" s="74"/>
      <x:c r="B248" s="74"/>
    </x:row>
    <x:row r="249">
      <x:c r="A249" s="74"/>
      <x:c r="B249" s="74"/>
    </x:row>
    <x:row r="250">
      <x:c r="A250" s="74"/>
      <x:c r="B250" s="74"/>
    </x:row>
    <x:row r="251">
      <x:c r="A251" s="74"/>
      <x:c r="B251" s="74"/>
    </x:row>
    <x:row r="252">
      <x:c r="A252" s="74"/>
      <x:c r="B252" s="74"/>
    </x:row>
    <x:row r="253">
      <x:c r="A253" s="74"/>
      <x:c r="B253" s="74"/>
    </x:row>
    <x:row r="254">
      <x:c r="A254" s="74"/>
      <x:c r="B254" s="74"/>
    </x:row>
    <x:row r="255">
      <x:c r="A255" s="74"/>
      <x:c r="B255" s="74"/>
    </x:row>
    <x:row r="256">
      <x:c r="A256" s="74"/>
      <x:c r="B256" s="74"/>
    </x:row>
    <x:row r="257">
      <x:c r="A257" s="74"/>
      <x:c r="B257" s="74"/>
    </x:row>
    <x:row r="258">
      <x:c r="A258" s="74"/>
      <x:c r="B258" s="74"/>
    </x:row>
    <x:row r="259">
      <x:c r="A259" s="74"/>
      <x:c r="B259" s="74"/>
    </x:row>
    <x:row r="260">
      <x:c r="A260" s="74"/>
      <x:c r="B260" s="74"/>
    </x:row>
    <x:row r="261">
      <x:c r="A261" s="74"/>
      <x:c r="B261" s="74"/>
    </x:row>
    <x:row r="262">
      <x:c r="A262" s="74"/>
      <x:c r="B262" s="74"/>
    </x:row>
    <x:row r="263">
      <x:c r="A263" s="74"/>
      <x:c r="B263" s="74"/>
    </x:row>
    <x:row r="264">
      <x:c r="A264" s="74"/>
      <x:c r="B264" s="74"/>
    </x:row>
    <x:row r="265">
      <x:c r="A265" s="74"/>
      <x:c r="B265" s="74"/>
    </x:row>
    <x:row r="266">
      <x:c r="A266" s="74"/>
      <x:c r="B266" s="74"/>
    </x:row>
    <x:row r="267">
      <x:c r="A267" s="74"/>
      <x:c r="B267" s="74"/>
    </x:row>
    <x:row r="268">
      <x:c r="A268" s="74"/>
      <x:c r="B268" s="74"/>
    </x:row>
    <x:row r="269">
      <x:c r="A269" s="74"/>
      <x:c r="B269" s="74"/>
    </x:row>
    <x:row r="270">
      <x:c r="A270" s="74"/>
      <x:c r="B270" s="74"/>
    </x:row>
    <x:row r="271">
      <x:c r="A271" s="74"/>
      <x:c r="B271" s="74"/>
    </x:row>
    <x:row r="272">
      <x:c r="A272" s="74"/>
      <x:c r="B272" s="74"/>
    </x:row>
    <x:row r="273">
      <x:c r="A273" s="74"/>
      <x:c r="B273" s="74"/>
    </x:row>
    <x:row r="274">
      <x:c r="A274" s="74"/>
      <x:c r="B274" s="74"/>
    </x:row>
    <x:row r="275">
      <x:c r="A275" s="74"/>
      <x:c r="B275" s="74"/>
    </x:row>
    <x:row r="276">
      <x:c r="A276" s="74"/>
      <x:c r="B276" s="74"/>
    </x:row>
    <x:row r="277">
      <x:c r="A277" s="74"/>
      <x:c r="B277" s="74"/>
    </x:row>
    <x:row r="278">
      <x:c r="A278" s="74"/>
      <x:c r="B278" s="74"/>
    </x:row>
    <x:row r="279">
      <x:c r="A279" s="74"/>
      <x:c r="B279" s="74"/>
    </x:row>
    <x:row r="280">
      <x:c r="A280" s="74"/>
      <x:c r="B280" s="74"/>
    </x:row>
    <x:row r="281">
      <x:c r="A281" s="74"/>
      <x:c r="B281" s="74"/>
    </x:row>
    <x:row r="282">
      <x:c r="A282" s="74"/>
      <x:c r="B282" s="74"/>
    </x:row>
    <x:row r="283">
      <x:c r="A283" s="74"/>
      <x:c r="B283" s="74"/>
    </x:row>
    <x:row r="284">
      <x:c r="A284" s="74"/>
      <x:c r="B284" s="74"/>
    </x:row>
    <x:row r="285">
      <x:c r="A285" s="74"/>
      <x:c r="B285" s="74"/>
    </x:row>
    <x:row r="286">
      <x:c r="A286" s="74"/>
      <x:c r="B286" s="74"/>
    </x:row>
    <x:row r="287">
      <x:c r="A287" s="74"/>
      <x:c r="B287" s="74"/>
    </x:row>
    <x:row r="288">
      <x:c r="A288" s="74"/>
      <x:c r="B288" s="74"/>
    </x:row>
    <x:row r="289">
      <x:c r="A289" s="74"/>
      <x:c r="B289" s="74"/>
    </x:row>
    <x:row r="290">
      <x:c r="A290" s="74"/>
      <x:c r="B290" s="74"/>
    </x:row>
    <x:row r="291">
      <x:c r="A291" s="74"/>
      <x:c r="B291" s="74"/>
    </x:row>
    <x:row r="292">
      <x:c r="A292" s="74"/>
      <x:c r="B292" s="74"/>
    </x:row>
    <x:row r="293">
      <x:c r="A293" s="74"/>
      <x:c r="B293" s="74"/>
    </x:row>
    <x:row r="294">
      <x:c r="A294" s="74"/>
      <x:c r="B294" s="74"/>
    </x:row>
    <x:row r="295">
      <x:c r="A295" s="74"/>
      <x:c r="B295" s="74"/>
    </x:row>
    <x:row r="296">
      <x:c r="A296" s="74"/>
      <x:c r="B296" s="74"/>
    </x:row>
    <x:row r="297">
      <x:c r="A297" s="74"/>
      <x:c r="B297" s="74"/>
    </x:row>
    <x:row r="298">
      <x:c r="A298" s="74"/>
      <x:c r="B298" s="74"/>
    </x:row>
    <x:row r="299">
      <x:c r="A299" s="74"/>
      <x:c r="B299" s="74"/>
    </x:row>
    <x:row r="300">
      <x:c r="A300" s="74"/>
      <x:c r="B300" s="74"/>
    </x:row>
    <x:row r="301">
      <x:c r="A301" s="74"/>
      <x:c r="B301" s="74"/>
    </x:row>
    <x:row r="302">
      <x:c r="A302" s="74"/>
      <x:c r="B302" s="74"/>
    </x:row>
    <x:row r="303">
      <x:c r="A303" s="74"/>
      <x:c r="B303" s="74"/>
    </x:row>
    <x:row r="304">
      <x:c r="A304" s="74"/>
      <x:c r="B304" s="74"/>
    </x:row>
    <x:row r="305">
      <x:c r="A305" s="74"/>
      <x:c r="B305" s="74"/>
    </x:row>
    <x:row r="306">
      <x:c r="A306" s="74"/>
      <x:c r="B306" s="74"/>
    </x:row>
    <x:row r="307">
      <x:c r="A307" s="74"/>
      <x:c r="B307" s="74"/>
    </x:row>
    <x:row r="308">
      <x:c r="A308" s="74"/>
      <x:c r="B308" s="74"/>
    </x:row>
    <x:row r="309">
      <x:c r="A309" s="74"/>
      <x:c r="B309" s="74"/>
    </x:row>
    <x:row r="310">
      <x:c r="A310" s="74"/>
      <x:c r="B310" s="74"/>
    </x:row>
    <x:row r="311">
      <x:c r="A311" s="74"/>
      <x:c r="B311" s="74"/>
    </x:row>
    <x:row r="312">
      <x:c r="A312" s="74"/>
      <x:c r="B312" s="74"/>
    </x:row>
    <x:row r="313">
      <x:c r="A313" s="74"/>
      <x:c r="B313" s="74"/>
    </x:row>
    <x:row r="314">
      <x:c r="A314" s="74"/>
      <x:c r="B314" s="74"/>
    </x:row>
    <x:row r="315">
      <x:c r="A315" s="74"/>
      <x:c r="B315" s="74"/>
    </x:row>
    <x:row r="316">
      <x:c r="A316" s="74"/>
      <x:c r="B316" s="74"/>
    </x:row>
    <x:row r="317">
      <x:c r="A317" s="74"/>
      <x:c r="B317" s="74"/>
    </x:row>
    <x:row r="318">
      <x:c r="A318" s="74"/>
      <x:c r="B318" s="74"/>
    </x:row>
    <x:row r="319">
      <x:c r="A319" s="74"/>
      <x:c r="B319" s="74"/>
    </x:row>
    <x:row r="320">
      <x:c r="A320" s="74"/>
      <x:c r="B320" s="74"/>
    </x:row>
    <x:row r="321">
      <x:c r="A321" s="74"/>
      <x:c r="B321" s="74"/>
    </x:row>
    <x:row r="322">
      <x:c r="A322" s="74"/>
      <x:c r="B322" s="74"/>
    </x:row>
    <x:row r="323">
      <x:c r="A323" s="74"/>
      <x:c r="B323" s="74"/>
    </x:row>
    <x:row r="324">
      <x:c r="A324" s="74"/>
      <x:c r="B324" s="74"/>
    </x:row>
    <x:row r="325">
      <x:c r="A325" s="74"/>
      <x:c r="B325" s="74"/>
    </x:row>
    <x:row r="326">
      <x:c r="A326" s="74"/>
      <x:c r="B326" s="74"/>
    </x:row>
    <x:row r="327">
      <x:c r="A327" s="74"/>
      <x:c r="B327" s="74"/>
    </x:row>
    <x:row r="328">
      <x:c r="A328" s="74"/>
      <x:c r="B328" s="74"/>
    </x:row>
    <x:row r="329">
      <x:c r="A329" s="74"/>
      <x:c r="B329" s="74"/>
    </x:row>
    <x:row r="330">
      <x:c r="A330" s="74"/>
      <x:c r="B330" s="74"/>
    </x:row>
    <x:row r="331">
      <x:c r="A331" s="74"/>
      <x:c r="B331" s="74"/>
    </x:row>
    <x:row r="332">
      <x:c r="A332" s="74"/>
      <x:c r="B332" s="74"/>
    </x:row>
    <x:row r="333">
      <x:c r="A333" s="74"/>
      <x:c r="B333" s="74"/>
    </x:row>
    <x:row r="334">
      <x:c r="A334" s="74"/>
      <x:c r="B334" s="74"/>
    </x:row>
    <x:row r="335">
      <x:c r="A335" s="74"/>
      <x:c r="B335" s="74"/>
    </x:row>
    <x:row r="336">
      <x:c r="A336" s="74"/>
      <x:c r="B336" s="74"/>
    </x:row>
    <x:row r="337">
      <x:c r="A337" s="74"/>
      <x:c r="B337" s="74"/>
    </x:row>
    <x:row r="338">
      <x:c r="A338" s="74"/>
      <x:c r="B338" s="74"/>
    </x:row>
    <x:row r="339">
      <x:c r="A339" s="74"/>
      <x:c r="B339" s="74"/>
    </x:row>
    <x:row r="340">
      <x:c r="A340" s="74"/>
      <x:c r="B340" s="74"/>
    </x:row>
    <x:row r="341">
      <x:c r="A341" s="74"/>
      <x:c r="B341" s="74"/>
    </x:row>
    <x:row r="342">
      <x:c r="A342" s="74"/>
      <x:c r="B342" s="74"/>
    </x:row>
    <x:row r="343">
      <x:c r="A343" s="74"/>
      <x:c r="B343" s="74"/>
    </x:row>
    <x:row r="344">
      <x:c r="A344" s="74"/>
      <x:c r="B344" s="74"/>
    </x:row>
    <x:row r="345">
      <x:c r="A345" s="74"/>
      <x:c r="B345" s="74"/>
    </x:row>
    <x:row r="346">
      <x:c r="A346" s="74"/>
      <x:c r="B346" s="74"/>
    </x:row>
    <x:row r="347">
      <x:c r="A347" s="74"/>
      <x:c r="B347" s="74"/>
    </x:row>
    <x:row r="348">
      <x:c r="A348" s="74"/>
      <x:c r="B348" s="74"/>
    </x:row>
    <x:row r="349">
      <x:c r="A349" s="74"/>
      <x:c r="B349" s="74"/>
    </x:row>
    <x:row r="350">
      <x:c r="A350" s="74"/>
      <x:c r="B350" s="74"/>
    </x:row>
    <x:row r="351">
      <x:c r="A351" s="74"/>
      <x:c r="B351" s="74"/>
    </x:row>
    <x:row r="352">
      <x:c r="A352" s="74"/>
      <x:c r="B352" s="74"/>
    </x:row>
    <x:row r="353">
      <x:c r="A353" s="74"/>
      <x:c r="B353" s="74"/>
    </x:row>
    <x:row r="354">
      <x:c r="A354" s="74"/>
      <x:c r="B354" s="74"/>
    </x:row>
    <x:row r="355">
      <x:c r="A355" s="74"/>
      <x:c r="B355" s="74"/>
    </x:row>
    <x:row r="356">
      <x:c r="A356" s="74"/>
      <x:c r="B356" s="74"/>
    </x:row>
    <x:row r="357">
      <x:c r="A357" s="74"/>
      <x:c r="B357" s="74"/>
    </x:row>
    <x:row r="358">
      <x:c r="A358" s="74"/>
      <x:c r="B358" s="74"/>
    </x:row>
    <x:row r="359">
      <x:c r="A359" s="74"/>
      <x:c r="B359" s="74"/>
    </x:row>
    <x:row r="360">
      <x:c r="A360" s="74"/>
      <x:c r="B360" s="74"/>
    </x:row>
    <x:row r="361">
      <x:c r="A361" s="74"/>
      <x:c r="B361" s="74"/>
    </x:row>
    <x:row r="362">
      <x:c r="A362" s="74"/>
      <x:c r="B362" s="74"/>
    </x:row>
    <x:row r="363">
      <x:c r="A363" s="74"/>
      <x:c r="B363" s="74"/>
    </x:row>
    <x:row r="364">
      <x:c r="A364" s="74"/>
      <x:c r="B364" s="74"/>
    </x:row>
    <x:row r="365">
      <x:c r="A365" s="74"/>
      <x:c r="B365" s="74"/>
    </x:row>
    <x:row r="366">
      <x:c r="A366" s="74"/>
      <x:c r="B366" s="74"/>
    </x:row>
    <x:row r="367">
      <x:c r="A367" s="74"/>
      <x:c r="B367" s="74"/>
    </x:row>
    <x:row r="368">
      <x:c r="A368" s="74"/>
      <x:c r="B368" s="74"/>
    </x:row>
    <x:row r="369">
      <x:c r="A369" s="74"/>
      <x:c r="B369" s="74"/>
    </x:row>
    <x:row r="370">
      <x:c r="A370" s="74"/>
      <x:c r="B370" s="74"/>
    </x:row>
    <x:row r="371">
      <x:c r="A371" s="74"/>
      <x:c r="B371" s="74"/>
    </x:row>
    <x:row r="372">
      <x:c r="A372" s="74"/>
      <x:c r="B372" s="74"/>
    </x:row>
    <x:row r="373">
      <x:c r="A373" s="74"/>
      <x:c r="B373" s="74"/>
    </x:row>
    <x:row r="374">
      <x:c r="A374" s="74"/>
      <x:c r="B374" s="74"/>
    </x:row>
    <x:row r="375">
      <x:c r="A375" s="74"/>
      <x:c r="B375" s="74"/>
    </x:row>
    <x:row r="376">
      <x:c r="A376" s="74"/>
      <x:c r="B376" s="74"/>
    </x:row>
    <x:row r="377">
      <x:c r="A377" s="74"/>
      <x:c r="B377" s="74"/>
    </x:row>
    <x:row r="378">
      <x:c r="A378" s="74"/>
      <x:c r="B378" s="74"/>
    </x:row>
    <x:row r="379">
      <x:c r="A379" s="74"/>
      <x:c r="B379" s="74"/>
    </x:row>
    <x:row r="380">
      <x:c r="A380" s="74"/>
      <x:c r="B380" s="74"/>
    </x:row>
    <x:row r="381">
      <x:c r="A381" s="74"/>
      <x:c r="B381" s="74"/>
    </x:row>
    <x:row r="382">
      <x:c r="A382" s="74"/>
      <x:c r="B382" s="74"/>
    </x:row>
    <x:row r="383">
      <x:c r="A383" s="74"/>
      <x:c r="B383" s="74"/>
    </x:row>
    <x:row r="384">
      <x:c r="A384" s="74"/>
      <x:c r="B384" s="74"/>
    </x:row>
    <x:row r="385">
      <x:c r="A385" s="74"/>
      <x:c r="B385" s="74"/>
    </x:row>
    <x:row r="386">
      <x:c r="A386" s="74"/>
      <x:c r="B386" s="74"/>
    </x:row>
    <x:row r="387">
      <x:c r="A387" s="74"/>
      <x:c r="B387" s="74"/>
    </x:row>
    <x:row r="388">
      <x:c r="A388" s="74"/>
      <x:c r="B388" s="74"/>
    </x:row>
    <x:row r="389">
      <x:c r="A389" s="74"/>
      <x:c r="B389" s="74"/>
    </x:row>
    <x:row r="390">
      <x:c r="A390" s="74"/>
      <x:c r="B390" s="74"/>
    </x:row>
    <x:row r="391">
      <x:c r="A391" s="74"/>
      <x:c r="B391" s="74"/>
    </x:row>
    <x:row r="392">
      <x:c r="A392" s="74"/>
      <x:c r="B392" s="74"/>
    </x:row>
    <x:row r="393">
      <x:c r="A393" s="74"/>
      <x:c r="B393" s="74"/>
    </x:row>
    <x:row r="394">
      <x:c r="A394" s="74"/>
      <x:c r="B394" s="74"/>
    </x:row>
    <x:row r="395">
      <x:c r="A395" s="74"/>
      <x:c r="B395" s="74"/>
    </x:row>
    <x:row r="396">
      <x:c r="A396" s="74"/>
      <x:c r="B396" s="74"/>
    </x:row>
    <x:row r="397">
      <x:c r="A397" s="74"/>
      <x:c r="B397" s="74"/>
    </x:row>
    <x:row r="398">
      <x:c r="A398" s="74"/>
      <x:c r="B398" s="74"/>
    </x:row>
    <x:row r="399">
      <x:c r="A399" s="74"/>
      <x:c r="B399" s="74"/>
    </x:row>
    <x:row r="400">
      <x:c r="A400" s="74"/>
      <x:c r="B400" s="74"/>
    </x:row>
    <x:row r="401">
      <x:c r="A401" s="74"/>
      <x:c r="B401" s="74"/>
    </x:row>
    <x:row r="402">
      <x:c r="A402" s="74"/>
      <x:c r="B402" s="74"/>
    </x:row>
    <x:row r="403">
      <x:c r="A403" s="74"/>
      <x:c r="B403" s="74"/>
    </x:row>
    <x:row r="404">
      <x:c r="A404" s="74"/>
      <x:c r="B404" s="74"/>
    </x:row>
    <x:row r="405">
      <x:c r="A405" s="74"/>
      <x:c r="B405" s="74"/>
    </x:row>
    <x:row r="406">
      <x:c r="A406" s="74"/>
      <x:c r="B406" s="74"/>
    </x:row>
    <x:row r="407">
      <x:c r="A407" s="74"/>
      <x:c r="B407" s="74"/>
    </x:row>
    <x:row r="408">
      <x:c r="A408" s="74"/>
      <x:c r="B408" s="74"/>
    </x:row>
    <x:row r="409">
      <x:c r="A409" s="74"/>
      <x:c r="B409" s="74"/>
    </x:row>
    <x:row r="410">
      <x:c r="A410" s="74"/>
      <x:c r="B410" s="74"/>
    </x:row>
    <x:row r="411">
      <x:c r="A411" s="74"/>
      <x:c r="B411" s="74"/>
    </x:row>
    <x:row r="412">
      <x:c r="A412" s="74"/>
      <x:c r="B412" s="74"/>
    </x:row>
    <x:row r="413">
      <x:c r="A413" s="74"/>
      <x:c r="B413" s="74"/>
    </x:row>
    <x:row r="414">
      <x:c r="A414" s="74"/>
      <x:c r="B414" s="74"/>
    </x:row>
    <x:row r="415">
      <x:c r="A415" s="74"/>
      <x:c r="B415" s="74"/>
    </x:row>
    <x:row r="416">
      <x:c r="A416" s="74"/>
      <x:c r="B416" s="74"/>
    </x:row>
    <x:row r="417">
      <x:c r="A417" s="74"/>
      <x:c r="B417" s="74"/>
    </x:row>
    <x:row r="418">
      <x:c r="A418" s="74"/>
      <x:c r="B418" s="74"/>
    </x:row>
    <x:row r="419">
      <x:c r="A419" s="74"/>
      <x:c r="B419" s="74"/>
    </x:row>
    <x:row r="420">
      <x:c r="A420" s="74"/>
      <x:c r="B420" s="74"/>
    </x:row>
    <x:row r="421">
      <x:c r="A421" s="74"/>
      <x:c r="B421" s="74"/>
    </x:row>
    <x:row r="422">
      <x:c r="A422" s="74"/>
      <x:c r="B422" s="74"/>
    </x:row>
    <x:row r="423">
      <x:c r="A423" s="74"/>
      <x:c r="B423" s="74"/>
    </x:row>
    <x:row r="424">
      <x:c r="A424" s="74"/>
      <x:c r="B424" s="74"/>
    </x:row>
    <x:row r="425">
      <x:c r="A425" s="74"/>
      <x:c r="B425" s="74"/>
    </x:row>
    <x:row r="426">
      <x:c r="A426" s="74"/>
      <x:c r="B426" s="74"/>
    </x:row>
    <x:row r="427">
      <x:c r="A427" s="74"/>
      <x:c r="B427" s="74"/>
    </x:row>
    <x:row r="428">
      <x:c r="A428" s="74"/>
      <x:c r="B428" s="74"/>
    </x:row>
    <x:row r="429">
      <x:c r="A429" s="74"/>
      <x:c r="B429" s="74"/>
    </x:row>
    <x:row r="430">
      <x:c r="A430" s="74"/>
      <x:c r="B430" s="74"/>
    </x:row>
    <x:row r="431">
      <x:c r="A431" s="74"/>
      <x:c r="B431" s="74"/>
    </x:row>
    <x:row r="432">
      <x:c r="A432" s="74"/>
      <x:c r="B432" s="74"/>
    </x:row>
    <x:row r="433">
      <x:c r="A433" s="74"/>
      <x:c r="B433" s="74"/>
    </x:row>
    <x:row r="434">
      <x:c r="A434" s="74"/>
      <x:c r="B434" s="74"/>
    </x:row>
    <x:row r="435">
      <x:c r="A435" s="74"/>
      <x:c r="B435" s="74"/>
    </x:row>
    <x:row r="436">
      <x:c r="A436" s="74"/>
      <x:c r="B436" s="74"/>
    </x:row>
    <x:row r="437">
      <x:c r="A437" s="74"/>
      <x:c r="B437" s="74"/>
    </x:row>
    <x:row r="438">
      <x:c r="A438" s="74"/>
      <x:c r="B438" s="74"/>
    </x:row>
    <x:row r="439">
      <x:c r="A439" s="74"/>
      <x:c r="B439" s="74"/>
    </x:row>
    <x:row r="440">
      <x:c r="A440" s="74"/>
      <x:c r="B440" s="74"/>
    </x:row>
    <x:row r="441">
      <x:c r="A441" s="74"/>
      <x:c r="B441" s="74"/>
    </x:row>
    <x:row r="442">
      <x:c r="A442" s="74"/>
      <x:c r="B442" s="74"/>
    </x:row>
    <x:row r="443">
      <x:c r="A443" s="74"/>
      <x:c r="B443" s="74"/>
    </x:row>
    <x:row r="444">
      <x:c r="A444" s="74"/>
      <x:c r="B444" s="74"/>
    </x:row>
    <x:row r="445">
      <x:c r="A445" s="74"/>
      <x:c r="B445" s="74"/>
    </x:row>
    <x:row r="446">
      <x:c r="A446" s="74"/>
      <x:c r="B446" s="74"/>
    </x:row>
    <x:row r="447">
      <x:c r="A447" s="74"/>
      <x:c r="B447" s="74"/>
    </x:row>
    <x:row r="448">
      <x:c r="A448" s="74"/>
      <x:c r="B448" s="74"/>
    </x:row>
    <x:row r="449">
      <x:c r="A449" s="74"/>
      <x:c r="B449" s="74"/>
    </x:row>
    <x:row r="450">
      <x:c r="A450" s="74"/>
      <x:c r="B450" s="74"/>
    </x:row>
    <x:row r="451">
      <x:c r="A451" s="74"/>
      <x:c r="B451" s="74"/>
    </x:row>
    <x:row r="452">
      <x:c r="A452" s="74"/>
      <x:c r="B452" s="74"/>
    </x:row>
    <x:row r="453">
      <x:c r="A453" s="74"/>
      <x:c r="B453" s="74"/>
    </x:row>
    <x:row r="454">
      <x:c r="A454" s="74"/>
      <x:c r="B454" s="74"/>
    </x:row>
    <x:row r="455">
      <x:c r="A455" s="74"/>
      <x:c r="B455" s="74"/>
    </x:row>
    <x:row r="456">
      <x:c r="A456" s="74"/>
      <x:c r="B456" s="74"/>
    </x:row>
    <x:row r="457">
      <x:c r="A457" s="74"/>
      <x:c r="B457" s="74"/>
    </x:row>
    <x:row r="458">
      <x:c r="A458" s="74"/>
      <x:c r="B458" s="74"/>
    </x:row>
    <x:row r="459">
      <x:c r="A459" s="74"/>
      <x:c r="B459" s="74"/>
    </x:row>
    <x:row r="460">
      <x:c r="A460" s="74"/>
      <x:c r="B460" s="74"/>
    </x:row>
    <x:row r="461">
      <x:c r="A461" s="74"/>
      <x:c r="B461" s="74"/>
    </x:row>
    <x:row r="462">
      <x:c r="A462" s="74"/>
      <x:c r="B462" s="74"/>
    </x:row>
    <x:row r="463">
      <x:c r="A463" s="74"/>
      <x:c r="B463" s="74"/>
    </x:row>
    <x:row r="464">
      <x:c r="A464" s="74"/>
      <x:c r="B464" s="74"/>
    </x:row>
    <x:row r="465">
      <x:c r="A465" s="74"/>
      <x:c r="B465" s="74"/>
    </x:row>
    <x:row r="466">
      <x:c r="A466" s="74"/>
      <x:c r="B466" s="74"/>
    </x:row>
    <x:row r="467">
      <x:c r="A467" s="74"/>
      <x:c r="B467" s="74"/>
    </x:row>
    <x:row r="468">
      <x:c r="A468" s="74"/>
      <x:c r="B468" s="74"/>
    </x:row>
    <x:row r="469">
      <x:c r="A469" s="74"/>
      <x:c r="B469" s="74"/>
    </x:row>
    <x:row r="470">
      <x:c r="A470" s="74"/>
      <x:c r="B470" s="74"/>
    </x:row>
    <x:row r="471">
      <x:c r="A471" s="74"/>
      <x:c r="B471" s="74"/>
    </x:row>
    <x:row r="472">
      <x:c r="A472" s="74"/>
      <x:c r="B472" s="74"/>
    </x:row>
    <x:row r="473">
      <x:c r="A473" s="74"/>
      <x:c r="B473" s="74"/>
    </x:row>
    <x:row r="474">
      <x:c r="A474" s="74"/>
      <x:c r="B474" s="74"/>
    </x:row>
    <x:row r="475">
      <x:c r="A475" s="74"/>
      <x:c r="B475" s="74"/>
    </x:row>
    <x:row r="476">
      <x:c r="A476" s="74"/>
      <x:c r="B476" s="74"/>
    </x:row>
    <x:row r="477">
      <x:c r="A477" s="74"/>
      <x:c r="B477" s="74"/>
    </x:row>
    <x:row r="478">
      <x:c r="A478" s="74"/>
      <x:c r="B478" s="74"/>
    </x:row>
    <x:row r="479">
      <x:c r="A479" s="74"/>
      <x:c r="B479" s="74"/>
    </x:row>
    <x:row r="480">
      <x:c r="A480" s="74"/>
      <x:c r="B480" s="74"/>
    </x:row>
    <x:row r="481">
      <x:c r="A481" s="74"/>
      <x:c r="B481" s="74"/>
    </x:row>
    <x:row r="482">
      <x:c r="A482" s="74"/>
      <x:c r="B482" s="74"/>
    </x:row>
    <x:row r="483">
      <x:c r="A483" s="74"/>
      <x:c r="B483" s="74"/>
    </x:row>
    <x:row r="484">
      <x:c r="A484" s="74"/>
      <x:c r="B484" s="74"/>
    </x:row>
    <x:row r="485">
      <x:c r="A485" s="74"/>
      <x:c r="B485" s="74"/>
    </x:row>
    <x:row r="486">
      <x:c r="A486" s="74"/>
      <x:c r="B486" s="74"/>
    </x:row>
    <x:row r="487">
      <x:c r="A487" s="74"/>
      <x:c r="B487" s="74"/>
    </x:row>
    <x:row r="488">
      <x:c r="A488" s="74"/>
      <x:c r="B488" s="74"/>
    </x:row>
    <x:row r="489">
      <x:c r="A489" s="74"/>
      <x:c r="B489" s="74"/>
    </x:row>
    <x:row r="490">
      <x:c r="A490" s="74"/>
      <x:c r="B490" s="74"/>
    </x:row>
    <x:row r="491">
      <x:c r="A491" s="74"/>
      <x:c r="B491" s="74"/>
    </x:row>
    <x:row r="492">
      <x:c r="A492" s="74"/>
      <x:c r="B492" s="74"/>
    </x:row>
    <x:row r="493">
      <x:c r="A493" s="74"/>
      <x:c r="B493" s="74"/>
    </x:row>
    <x:row r="494">
      <x:c r="A494" s="74"/>
      <x:c r="B494" s="74"/>
    </x:row>
    <x:row r="495">
      <x:c r="A495" s="74"/>
      <x:c r="B495" s="74"/>
    </x:row>
    <x:row r="496">
      <x:c r="A496" s="74"/>
      <x:c r="B496" s="74"/>
    </x:row>
    <x:row r="497">
      <x:c r="A497" s="74"/>
      <x:c r="B497" s="74"/>
    </x:row>
    <x:row r="498">
      <x:c r="A498" s="74"/>
      <x:c r="B498" s="74"/>
    </x:row>
    <x:row r="499">
      <x:c r="A499" s="74"/>
      <x:c r="B499" s="74"/>
    </x:row>
    <x:row r="500">
      <x:c r="A500" s="74"/>
      <x:c r="B500" s="74"/>
    </x:row>
    <x:row r="501">
      <x:c r="A501" s="74"/>
      <x:c r="B501" s="74"/>
    </x:row>
    <x:row r="502">
      <x:c r="A502" s="74"/>
      <x:c r="B502" s="74"/>
    </x:row>
    <x:row r="503">
      <x:c r="A503" s="74"/>
      <x:c r="B503" s="74"/>
    </x:row>
    <x:row r="504">
      <x:c r="A504" s="74"/>
      <x:c r="B504" s="74"/>
    </x:row>
    <x:row r="505">
      <x:c r="A505" s="74"/>
      <x:c r="B505" s="74"/>
    </x:row>
    <x:row r="506">
      <x:c r="A506" s="74"/>
      <x:c r="B506" s="74"/>
    </x:row>
    <x:row r="507">
      <x:c r="A507" s="74"/>
      <x:c r="B507" s="74"/>
    </x:row>
    <x:row r="508">
      <x:c r="A508" s="74"/>
      <x:c r="B508" s="74"/>
    </x:row>
    <x:row r="509">
      <x:c r="A509" s="74"/>
      <x:c r="B509" s="74"/>
    </x:row>
    <x:row r="510">
      <x:c r="A510" s="74"/>
      <x:c r="B510" s="74"/>
    </x:row>
    <x:row r="511">
      <x:c r="A511" s="74"/>
      <x:c r="B511" s="74"/>
    </x:row>
    <x:row r="512">
      <x:c r="A512" s="74"/>
      <x:c r="B512" s="74"/>
    </x:row>
    <x:row r="513">
      <x:c r="A513" s="74"/>
      <x:c r="B513" s="74"/>
    </x:row>
    <x:row r="514">
      <x:c r="A514" s="74"/>
      <x:c r="B514" s="74"/>
    </x:row>
    <x:row r="515">
      <x:c r="A515" s="74"/>
      <x:c r="B515" s="74"/>
    </x:row>
    <x:row r="516">
      <x:c r="A516" s="74"/>
      <x:c r="B516" s="74"/>
    </x:row>
    <x:row r="517">
      <x:c r="A517" s="74"/>
      <x:c r="B517" s="74"/>
    </x:row>
    <x:row r="518">
      <x:c r="A518" s="74"/>
      <x:c r="B518" s="74"/>
    </x:row>
    <x:row r="519">
      <x:c r="A519" s="74"/>
      <x:c r="B519" s="74"/>
    </x:row>
    <x:row r="520">
      <x:c r="A520" s="74"/>
      <x:c r="B520" s="74"/>
    </x:row>
    <x:row r="521">
      <x:c r="A521" s="74"/>
      <x:c r="B521" s="74"/>
    </x:row>
    <x:row r="522">
      <x:c r="A522" s="74"/>
      <x:c r="B522" s="74"/>
    </x:row>
    <x:row r="523">
      <x:c r="A523" s="74"/>
      <x:c r="B523" s="74"/>
    </x:row>
    <x:row r="524">
      <x:c r="A524" s="74"/>
      <x:c r="B524" s="74"/>
    </x:row>
    <x:row r="525">
      <x:c r="A525" s="74"/>
      <x:c r="B525" s="74"/>
    </x:row>
    <x:row r="526">
      <x:c r="A526" s="74"/>
      <x:c r="B526" s="74"/>
    </x:row>
    <x:row r="527">
      <x:c r="A527" s="74"/>
      <x:c r="B527" s="74"/>
    </x:row>
    <x:row r="528">
      <x:c r="A528" s="74"/>
      <x:c r="B528" s="74"/>
    </x:row>
    <x:row r="529">
      <x:c r="A529" s="74"/>
      <x:c r="B529" s="74"/>
    </x:row>
    <x:row r="530">
      <x:c r="A530" s="74"/>
      <x:c r="B530" s="74"/>
    </x:row>
    <x:row r="531">
      <x:c r="A531" s="74"/>
      <x:c r="B531" s="74"/>
    </x:row>
    <x:row r="532">
      <x:c r="A532" s="74"/>
      <x:c r="B532" s="74"/>
    </x:row>
    <x:row r="533">
      <x:c r="A533" s="74"/>
      <x:c r="B533" s="74"/>
    </x:row>
    <x:row r="534">
      <x:c r="A534" s="74"/>
      <x:c r="B534" s="74"/>
    </x:row>
    <x:row r="535">
      <x:c r="A535" s="74"/>
      <x:c r="B535" s="74"/>
    </x:row>
    <x:row r="536">
      <x:c r="A536" s="74"/>
      <x:c r="B536" s="74"/>
    </x:row>
    <x:row r="537">
      <x:c r="A537" s="74"/>
      <x:c r="B537" s="74"/>
    </x:row>
    <x:row r="538">
      <x:c r="A538" s="74"/>
      <x:c r="B538" s="74"/>
    </x:row>
    <x:row r="539">
      <x:c r="A539" s="74"/>
      <x:c r="B539" s="74"/>
    </x:row>
    <x:row r="540">
      <x:c r="A540" s="74"/>
      <x:c r="B540" s="74"/>
    </x:row>
    <x:row r="541">
      <x:c r="A541" s="74"/>
      <x:c r="B541" s="74"/>
    </x:row>
    <x:row r="542">
      <x:c r="A542" s="74"/>
      <x:c r="B542" s="74"/>
    </x:row>
    <x:row r="543">
      <x:c r="A543" s="74"/>
      <x:c r="B543" s="74"/>
    </x:row>
    <x:row r="544">
      <x:c r="A544" s="74"/>
      <x:c r="B544" s="74"/>
    </x:row>
    <x:row r="545">
      <x:c r="A545" s="74"/>
      <x:c r="B545" s="74"/>
    </x:row>
    <x:row r="546">
      <x:c r="A546" s="74"/>
      <x:c r="B546" s="74"/>
    </x:row>
    <x:row r="547">
      <x:c r="A547" s="74"/>
      <x:c r="B547" s="74"/>
    </x:row>
    <x:row r="548">
      <x:c r="A548" s="74"/>
      <x:c r="B548" s="74"/>
    </x:row>
    <x:row r="549">
      <x:c r="A549" s="74"/>
      <x:c r="B549" s="74"/>
    </x:row>
    <x:row r="550">
      <x:c r="A550" s="74"/>
      <x:c r="B550" s="74"/>
    </x:row>
    <x:row r="551">
      <x:c r="A551" s="74"/>
      <x:c r="B551" s="74"/>
    </x:row>
    <x:row r="552">
      <x:c r="A552" s="74"/>
      <x:c r="B552" s="74"/>
    </x:row>
    <x:row r="553">
      <x:c r="A553" s="74"/>
      <x:c r="B553" s="74"/>
    </x:row>
    <x:row r="554">
      <x:c r="A554" s="74"/>
      <x:c r="B554" s="74"/>
    </x:row>
    <x:row r="555">
      <x:c r="A555" s="74"/>
      <x:c r="B555" s="74"/>
    </x:row>
    <x:row r="556">
      <x:c r="A556" s="74"/>
      <x:c r="B556" s="74"/>
    </x:row>
    <x:row r="557">
      <x:c r="A557" s="74"/>
      <x:c r="B557" s="74"/>
    </x:row>
    <x:row r="558">
      <x:c r="A558" s="74"/>
      <x:c r="B558" s="74"/>
    </x:row>
    <x:row r="559">
      <x:c r="A559" s="74"/>
      <x:c r="B559" s="74"/>
    </x:row>
    <x:row r="560">
      <x:c r="A560" s="74"/>
      <x:c r="B560" s="74"/>
    </x:row>
    <x:row r="561">
      <x:c r="A561" s="74"/>
      <x:c r="B561" s="74"/>
    </x:row>
    <x:row r="562">
      <x:c r="A562" s="74"/>
      <x:c r="B562" s="74"/>
    </x:row>
    <x:row r="563">
      <x:c r="A563" s="74"/>
      <x:c r="B563" s="74"/>
    </x:row>
    <x:row r="564">
      <x:c r="A564" s="74"/>
      <x:c r="B564" s="74"/>
    </x:row>
    <x:row r="565">
      <x:c r="A565" s="74"/>
      <x:c r="B565" s="74"/>
    </x:row>
    <x:row r="566">
      <x:c r="A566" s="74"/>
      <x:c r="B566" s="74"/>
    </x:row>
    <x:row r="567">
      <x:c r="A567" s="74"/>
      <x:c r="B567" s="74"/>
    </x:row>
    <x:row r="568">
      <x:c r="A568" s="74"/>
      <x:c r="B568" s="74"/>
    </x:row>
    <x:row r="569">
      <x:c r="A569" s="74"/>
      <x:c r="B569" s="74"/>
    </x:row>
    <x:row r="570">
      <x:c r="A570" s="74"/>
      <x:c r="B570" s="74"/>
    </x:row>
    <x:row r="571">
      <x:c r="A571" s="74"/>
      <x:c r="B571" s="74"/>
    </x:row>
    <x:row r="572">
      <x:c r="A572" s="74"/>
      <x:c r="B572" s="74"/>
    </x:row>
    <x:row r="573">
      <x:c r="A573" s="74"/>
      <x:c r="B573" s="74"/>
    </x:row>
    <x:row r="574">
      <x:c r="A574" s="74"/>
      <x:c r="B574" s="74"/>
    </x:row>
    <x:row r="575">
      <x:c r="A575" s="74"/>
      <x:c r="B575" s="74"/>
    </x:row>
    <x:row r="576">
      <x:c r="A576" s="74"/>
      <x:c r="B576" s="74"/>
    </x:row>
    <x:row r="577">
      <x:c r="A577" s="74"/>
      <x:c r="B577" s="74"/>
    </x:row>
    <x:row r="578">
      <x:c r="A578" s="74"/>
      <x:c r="B578" s="74"/>
    </x:row>
    <x:row r="579">
      <x:c r="A579" s="74"/>
      <x:c r="B579" s="74"/>
    </x:row>
    <x:row r="580">
      <x:c r="A580" s="74"/>
      <x:c r="B580" s="74"/>
    </x:row>
    <x:row r="581">
      <x:c r="A581" s="74"/>
      <x:c r="B581" s="74"/>
    </x:row>
    <x:row r="582">
      <x:c r="A582" s="74"/>
      <x:c r="B582" s="74"/>
    </x:row>
    <x:row r="583">
      <x:c r="A583" s="74"/>
      <x:c r="B583" s="74"/>
    </x:row>
    <x:row r="584">
      <x:c r="A584" s="74"/>
      <x:c r="B584" s="74"/>
    </x:row>
    <x:row r="585">
      <x:c r="A585" s="74"/>
      <x:c r="B585" s="74"/>
    </x:row>
    <x:row r="586">
      <x:c r="A586" s="74"/>
      <x:c r="B586" s="74"/>
    </x:row>
    <x:row r="587">
      <x:c r="A587" s="74"/>
      <x:c r="B587" s="74"/>
    </x:row>
    <x:row r="588">
      <x:c r="A588" s="74"/>
      <x:c r="B588" s="74"/>
    </x:row>
    <x:row r="589">
      <x:c r="A589" s="74"/>
      <x:c r="B589" s="74"/>
    </x:row>
    <x:row r="590">
      <x:c r="A590" s="74"/>
      <x:c r="B590" s="74"/>
    </x:row>
    <x:row r="591">
      <x:c r="A591" s="74"/>
      <x:c r="B591" s="74"/>
    </x:row>
    <x:row r="592">
      <x:c r="A592" s="74"/>
      <x:c r="B592" s="74"/>
    </x:row>
    <x:row r="593">
      <x:c r="A593" s="74"/>
      <x:c r="B593" s="74"/>
    </x:row>
    <x:row r="594">
      <x:c r="A594" s="74"/>
      <x:c r="B594" s="74"/>
    </x:row>
    <x:row r="595">
      <x:c r="A595" s="74"/>
      <x:c r="B595" s="74"/>
    </x:row>
    <x:row r="596">
      <x:c r="A596" s="74"/>
      <x:c r="B596" s="74"/>
    </x:row>
    <x:row r="597">
      <x:c r="A597" s="74"/>
      <x:c r="B597" s="74"/>
    </x:row>
    <x:row r="598">
      <x:c r="A598" s="74"/>
      <x:c r="B598" s="74"/>
    </x:row>
    <x:row r="599">
      <x:c r="A599" s="74"/>
      <x:c r="B599" s="74"/>
    </x:row>
    <x:row r="600">
      <x:c r="A600" s="74"/>
      <x:c r="B600" s="74"/>
    </x:row>
    <x:row r="601">
      <x:c r="A601" s="74"/>
      <x:c r="B601" s="74"/>
    </x:row>
    <x:row r="602">
      <x:c r="A602" s="74"/>
      <x:c r="B602" s="74"/>
    </x:row>
    <x:row r="603">
      <x:c r="A603" s="74"/>
      <x:c r="B603" s="74"/>
    </x:row>
    <x:row r="604">
      <x:c r="A604" s="74"/>
      <x:c r="B604" s="74"/>
    </x:row>
    <x:row r="605">
      <x:c r="A605" s="74"/>
      <x:c r="B605" s="74"/>
    </x:row>
    <x:row r="606">
      <x:c r="A606" s="74"/>
      <x:c r="B606" s="74"/>
    </x:row>
    <x:row r="607">
      <x:c r="A607" s="74"/>
      <x:c r="B607" s="74"/>
    </x:row>
    <x:row r="608">
      <x:c r="A608" s="74"/>
      <x:c r="B608" s="74"/>
    </x:row>
    <x:row r="609">
      <x:c r="A609" s="74"/>
      <x:c r="B609" s="74"/>
    </x:row>
    <x:row r="610">
      <x:c r="A610" s="74"/>
      <x:c r="B610" s="74"/>
    </x:row>
    <x:row r="611">
      <x:c r="A611" s="74"/>
      <x:c r="B611" s="74"/>
    </x:row>
    <x:row r="612">
      <x:c r="A612" s="74"/>
      <x:c r="B612" s="74"/>
    </x:row>
    <x:row r="613">
      <x:c r="A613" s="74"/>
      <x:c r="B613" s="74"/>
    </x:row>
    <x:row r="614">
      <x:c r="A614" s="74"/>
      <x:c r="B614" s="74"/>
    </x:row>
    <x:row r="615">
      <x:c r="A615" s="74"/>
      <x:c r="B615" s="74"/>
    </x:row>
    <x:row r="616">
      <x:c r="A616" s="74"/>
      <x:c r="B616" s="74"/>
    </x:row>
    <x:row r="617">
      <x:c r="A617" s="74"/>
      <x:c r="B617" s="74"/>
    </x:row>
    <x:row r="618">
      <x:c r="A618" s="74"/>
      <x:c r="B618" s="74"/>
    </x:row>
    <x:row r="619">
      <x:c r="A619" s="74"/>
      <x:c r="B619" s="74"/>
    </x:row>
    <x:row r="620">
      <x:c r="A620" s="74"/>
      <x:c r="B620" s="74"/>
    </x:row>
    <x:row r="621">
      <x:c r="A621" s="74"/>
      <x:c r="B621" s="74"/>
    </x:row>
    <x:row r="622">
      <x:c r="A622" s="74"/>
      <x:c r="B622" s="74"/>
    </x:row>
    <x:row r="623">
      <x:c r="A623" s="74"/>
      <x:c r="B623" s="74"/>
    </x:row>
    <x:row r="624">
      <x:c r="A624" s="74"/>
      <x:c r="B624" s="74"/>
    </x:row>
    <x:row r="625">
      <x:c r="A625" s="74"/>
      <x:c r="B625" s="74"/>
    </x:row>
    <x:row r="626">
      <x:c r="A626" s="74"/>
      <x:c r="B626" s="74"/>
    </x:row>
    <x:row r="627">
      <x:c r="A627" s="74"/>
      <x:c r="B627" s="74"/>
    </x:row>
    <x:row r="628">
      <x:c r="A628" s="74"/>
      <x:c r="B628" s="74"/>
    </x:row>
    <x:row r="629">
      <x:c r="A629" s="74"/>
      <x:c r="B629" s="74"/>
    </x:row>
    <x:row r="630">
      <x:c r="A630" s="74"/>
      <x:c r="B630" s="74"/>
    </x:row>
    <x:row r="631">
      <x:c r="A631" s="74"/>
      <x:c r="B631" s="74"/>
    </x:row>
    <x:row r="632">
      <x:c r="A632" s="74"/>
      <x:c r="B632" s="74"/>
    </x:row>
    <x:row r="633">
      <x:c r="A633" s="74"/>
      <x:c r="B633" s="74"/>
    </x:row>
    <x:row r="634">
      <x:c r="A634" s="74"/>
      <x:c r="B634" s="74"/>
    </x:row>
    <x:row r="635">
      <x:c r="A635" s="74"/>
      <x:c r="B635" s="74"/>
    </x:row>
    <x:row r="636">
      <x:c r="A636" s="74"/>
      <x:c r="B636" s="74"/>
    </x:row>
    <x:row r="637">
      <x:c r="A637" s="74"/>
      <x:c r="B637" s="74"/>
    </x:row>
    <x:row r="638">
      <x:c r="A638" s="74"/>
      <x:c r="B638" s="74"/>
    </x:row>
    <x:row r="639">
      <x:c r="A639" s="74"/>
      <x:c r="B639" s="74"/>
    </x:row>
    <x:row r="640">
      <x:c r="A640" s="74"/>
      <x:c r="B640" s="74"/>
    </x:row>
    <x:row r="641">
      <x:c r="A641" s="74"/>
      <x:c r="B641" s="74"/>
    </x:row>
    <x:row r="642">
      <x:c r="A642" s="74"/>
      <x:c r="B642" s="74"/>
    </x:row>
    <x:row r="643">
      <x:c r="A643" s="74"/>
      <x:c r="B643" s="74"/>
    </x:row>
    <x:row r="644">
      <x:c r="A644" s="74"/>
      <x:c r="B644" s="74"/>
    </x:row>
    <x:row r="645">
      <x:c r="A645" s="74"/>
      <x:c r="B645" s="74"/>
    </x:row>
    <x:row r="646">
      <x:c r="A646" s="74"/>
      <x:c r="B646" s="74"/>
    </x:row>
    <x:row r="647">
      <x:c r="A647" s="74"/>
      <x:c r="B647" s="74"/>
    </x:row>
    <x:row r="648">
      <x:c r="A648" s="74"/>
      <x:c r="B648" s="74"/>
    </x:row>
    <x:row r="649">
      <x:c r="A649" s="74"/>
      <x:c r="B649" s="74"/>
    </x:row>
    <x:row r="650">
      <x:c r="A650" s="74"/>
      <x:c r="B650" s="74"/>
    </x:row>
    <x:row r="651">
      <x:c r="A651" s="74"/>
      <x:c r="B651" s="74"/>
    </x:row>
    <x:row r="652">
      <x:c r="A652" s="74"/>
      <x:c r="B652" s="74"/>
    </x:row>
    <x:row r="653">
      <x:c r="A653" s="74"/>
      <x:c r="B653" s="74"/>
    </x:row>
    <x:row r="654">
      <x:c r="A654" s="74"/>
      <x:c r="B654" s="74"/>
    </x:row>
    <x:row r="655">
      <x:c r="A655" s="74"/>
      <x:c r="B655" s="74"/>
    </x:row>
    <x:row r="656">
      <x:c r="A656" s="74"/>
      <x:c r="B656" s="74"/>
    </x:row>
    <x:row r="657">
      <x:c r="A657" s="74"/>
      <x:c r="B657" s="74"/>
    </x:row>
    <x:row r="658">
      <x:c r="A658" s="74"/>
      <x:c r="B658" s="74"/>
    </x:row>
    <x:row r="659">
      <x:c r="A659" s="74"/>
      <x:c r="B659" s="74"/>
    </x:row>
    <x:row r="660">
      <x:c r="A660" s="74"/>
      <x:c r="B660" s="74"/>
    </x:row>
    <x:row r="661">
      <x:c r="A661" s="74"/>
      <x:c r="B661" s="74"/>
    </x:row>
    <x:row r="662">
      <x:c r="A662" s="74"/>
      <x:c r="B662" s="74"/>
    </x:row>
    <x:row r="663">
      <x:c r="A663" s="74"/>
      <x:c r="B663" s="74"/>
    </x:row>
    <x:row r="664">
      <x:c r="A664" s="74"/>
      <x:c r="B664" s="74"/>
    </x:row>
    <x:row r="665">
      <x:c r="A665" s="74"/>
      <x:c r="B665" s="74"/>
    </x:row>
    <x:row r="666">
      <x:c r="A666" s="74"/>
      <x:c r="B666" s="74"/>
    </x:row>
    <x:row r="667">
      <x:c r="A667" s="74"/>
      <x:c r="B667" s="74"/>
    </x:row>
    <x:row r="668">
      <x:c r="A668" s="74"/>
      <x:c r="B668" s="74"/>
    </x:row>
    <x:row r="669">
      <x:c r="A669" s="74"/>
      <x:c r="B669" s="74"/>
    </x:row>
    <x:row r="670">
      <x:c r="A670" s="74"/>
      <x:c r="B670" s="74"/>
    </x:row>
    <x:row r="671">
      <x:c r="A671" s="74"/>
      <x:c r="B671" s="74"/>
    </x:row>
    <x:row r="672">
      <x:c r="A672" s="74"/>
      <x:c r="B672" s="74"/>
    </x:row>
    <x:row r="673">
      <x:c r="A673" s="74"/>
      <x:c r="B673" s="74"/>
    </x:row>
    <x:row r="674">
      <x:c r="A674" s="74"/>
      <x:c r="B674" s="74"/>
    </x:row>
    <x:row r="675">
      <x:c r="A675" s="74"/>
      <x:c r="B675" s="74"/>
    </x:row>
    <x:row r="676">
      <x:c r="A676" s="74"/>
      <x:c r="B676" s="74"/>
    </x:row>
    <x:row r="677">
      <x:c r="A677" s="74"/>
      <x:c r="B677" s="74"/>
    </x:row>
    <x:row r="678">
      <x:c r="A678" s="74"/>
      <x:c r="B678" s="74"/>
    </x:row>
    <x:row r="679">
      <x:c r="A679" s="74"/>
      <x:c r="B679" s="74"/>
    </x:row>
    <x:row r="680">
      <x:c r="A680" s="74"/>
      <x:c r="B680" s="74"/>
    </x:row>
    <x:row r="681">
      <x:c r="A681" s="74"/>
      <x:c r="B681" s="74"/>
    </x:row>
    <x:row r="682">
      <x:c r="A682" s="74"/>
      <x:c r="B682" s="74"/>
    </x:row>
    <x:row r="683">
      <x:c r="A683" s="74"/>
      <x:c r="B683" s="74"/>
    </x:row>
    <x:row r="684">
      <x:c r="A684" s="74"/>
      <x:c r="B684" s="74"/>
    </x:row>
    <x:row r="685">
      <x:c r="A685" s="74"/>
      <x:c r="B685" s="74"/>
    </x:row>
    <x:row r="686">
      <x:c r="A686" s="74"/>
      <x:c r="B686" s="74"/>
    </x:row>
    <x:row r="687">
      <x:c r="A687" s="74"/>
      <x:c r="B687" s="74"/>
    </x:row>
    <x:row r="688">
      <x:c r="A688" s="74"/>
      <x:c r="B688" s="74"/>
    </x:row>
    <x:row r="689">
      <x:c r="A689" s="74"/>
      <x:c r="B689" s="74"/>
    </x:row>
    <x:row r="690">
      <x:c r="A690" s="74"/>
      <x:c r="B690" s="74"/>
    </x:row>
    <x:row r="691">
      <x:c r="A691" s="74"/>
      <x:c r="B691" s="74"/>
    </x:row>
    <x:row r="692">
      <x:c r="A692" s="74"/>
      <x:c r="B692" s="74"/>
    </x:row>
    <x:row r="693">
      <x:c r="A693" s="74"/>
      <x:c r="B693" s="74"/>
    </x:row>
    <x:row r="694">
      <x:c r="A694" s="74"/>
      <x:c r="B694" s="74"/>
    </x:row>
    <x:row r="695">
      <x:c r="A695" s="74"/>
      <x:c r="B695" s="74"/>
    </x:row>
    <x:row r="696">
      <x:c r="A696" s="74"/>
      <x:c r="B696" s="74"/>
    </x:row>
    <x:row r="697">
      <x:c r="A697" s="74"/>
      <x:c r="B697" s="74"/>
    </x:row>
    <x:row r="698">
      <x:c r="A698" s="74"/>
      <x:c r="B698" s="74"/>
    </x:row>
    <x:row r="699">
      <x:c r="A699" s="74"/>
      <x:c r="B699" s="74"/>
    </x:row>
    <x:row r="700">
      <x:c r="A700" s="74"/>
      <x:c r="B700" s="74"/>
    </x:row>
    <x:row r="701">
      <x:c r="A701" s="74"/>
      <x:c r="B701" s="74"/>
    </x:row>
    <x:row r="702">
      <x:c r="A702" s="74"/>
      <x:c r="B702" s="74"/>
    </x:row>
    <x:row r="703">
      <x:c r="A703" s="74"/>
      <x:c r="B703" s="74"/>
    </x:row>
    <x:row r="704">
      <x:c r="A704" s="74"/>
      <x:c r="B704" s="74"/>
    </x:row>
    <x:row r="705">
      <x:c r="A705" s="74"/>
      <x:c r="B705" s="74"/>
    </x:row>
    <x:row r="706">
      <x:c r="A706" s="74"/>
      <x:c r="B706" s="74"/>
    </x:row>
    <x:row r="707">
      <x:c r="A707" s="74"/>
      <x:c r="B707" s="74"/>
    </x:row>
    <x:row r="708">
      <x:c r="A708" s="74"/>
      <x:c r="B708" s="74"/>
    </x:row>
    <x:row r="709">
      <x:c r="A709" s="74"/>
      <x:c r="B709" s="74"/>
    </x:row>
    <x:row r="710">
      <x:c r="A710" s="74"/>
      <x:c r="B710" s="74"/>
    </x:row>
    <x:row r="711">
      <x:c r="A711" s="74"/>
      <x:c r="B711" s="74"/>
    </x:row>
    <x:row r="712">
      <x:c r="A712" s="74"/>
      <x:c r="B712" s="74"/>
    </x:row>
    <x:row r="713">
      <x:c r="A713" s="74"/>
      <x:c r="B713" s="74"/>
    </x:row>
    <x:row r="714">
      <x:c r="A714" s="74"/>
      <x:c r="B714" s="74"/>
    </x:row>
    <x:row r="715">
      <x:c r="A715" s="74"/>
      <x:c r="B715" s="74"/>
    </x:row>
    <x:row r="716">
      <x:c r="A716" s="74"/>
      <x:c r="B716" s="74"/>
    </x:row>
    <x:row r="717">
      <x:c r="A717" s="74"/>
      <x:c r="B717" s="74"/>
    </x:row>
    <x:row r="718">
      <x:c r="A718" s="74"/>
      <x:c r="B718" s="74"/>
    </x:row>
    <x:row r="719">
      <x:c r="A719" s="74"/>
      <x:c r="B719" s="74"/>
    </x:row>
    <x:row r="720">
      <x:c r="A720" s="74"/>
      <x:c r="B720" s="74"/>
    </x:row>
    <x:row r="721">
      <x:c r="A721" s="74"/>
      <x:c r="B721" s="74"/>
    </x:row>
    <x:row r="722">
      <x:c r="A722" s="74"/>
      <x:c r="B722" s="74"/>
    </x:row>
    <x:row r="723">
      <x:c r="A723" s="74"/>
      <x:c r="B723" s="74"/>
    </x:row>
    <x:row r="724">
      <x:c r="A724" s="74"/>
      <x:c r="B724" s="74"/>
    </x:row>
    <x:row r="725">
      <x:c r="A725" s="74"/>
      <x:c r="B725" s="74"/>
    </x:row>
    <x:row r="726">
      <x:c r="A726" s="74"/>
      <x:c r="B726" s="74"/>
    </x:row>
    <x:row r="727">
      <x:c r="A727" s="74"/>
      <x:c r="B727" s="74"/>
    </x:row>
    <x:row r="728">
      <x:c r="A728" s="74"/>
      <x:c r="B728" s="74"/>
    </x:row>
    <x:row r="729">
      <x:c r="A729" s="74"/>
      <x:c r="B729" s="74"/>
    </x:row>
    <x:row r="730">
      <x:c r="A730" s="74"/>
      <x:c r="B730" s="74"/>
    </x:row>
    <x:row r="731">
      <x:c r="A731" s="74"/>
      <x:c r="B731" s="74"/>
    </x:row>
    <x:row r="732">
      <x:c r="A732" s="74"/>
      <x:c r="B732" s="74"/>
    </x:row>
    <x:row r="733">
      <x:c r="A733" s="74"/>
      <x:c r="B733" s="74"/>
    </x:row>
    <x:row r="734">
      <x:c r="A734" s="74"/>
      <x:c r="B734" s="74"/>
    </x:row>
    <x:row r="735">
      <x:c r="A735" s="74"/>
      <x:c r="B735" s="74"/>
    </x:row>
    <x:row r="736">
      <x:c r="A736" s="74"/>
      <x:c r="B736" s="74"/>
    </x:row>
    <x:row r="737">
      <x:c r="A737" s="74"/>
      <x:c r="B737" s="74"/>
    </x:row>
    <x:row r="738">
      <x:c r="A738" s="74"/>
      <x:c r="B738" s="74"/>
    </x:row>
    <x:row r="739">
      <x:c r="A739" s="74"/>
      <x:c r="B739" s="74"/>
    </x:row>
    <x:row r="740">
      <x:c r="A740" s="74"/>
      <x:c r="B740" s="74"/>
    </x:row>
    <x:row r="741">
      <x:c r="A741" s="74"/>
      <x:c r="B741" s="74"/>
    </x:row>
    <x:row r="742">
      <x:c r="A742" s="74"/>
      <x:c r="B742" s="74"/>
    </x:row>
    <x:row r="743">
      <x:c r="A743" s="74"/>
      <x:c r="B743" s="74"/>
    </x:row>
    <x:row r="744">
      <x:c r="A744" s="74"/>
      <x:c r="B744" s="74"/>
    </x:row>
    <x:row r="745">
      <x:c r="A745" s="74"/>
      <x:c r="B745" s="74"/>
    </x:row>
    <x:row r="746">
      <x:c r="A746" s="74"/>
      <x:c r="B746" s="74"/>
    </x:row>
    <x:row r="747">
      <x:c r="A747" s="74"/>
      <x:c r="B747" s="74"/>
    </x:row>
    <x:row r="748">
      <x:c r="A748" s="74"/>
      <x:c r="B748" s="74"/>
    </x:row>
    <x:row r="749">
      <x:c r="A749" s="74"/>
      <x:c r="B749" s="74"/>
    </x:row>
    <x:row r="750">
      <x:c r="A750" s="74"/>
      <x:c r="B750" s="74"/>
    </x:row>
    <x:row r="751">
      <x:c r="A751" s="74"/>
      <x:c r="B751" s="74"/>
    </x:row>
    <x:row r="752">
      <x:c r="A752" s="74"/>
      <x:c r="B752" s="74"/>
    </x:row>
    <x:row r="753">
      <x:c r="A753" s="74"/>
      <x:c r="B753" s="74"/>
    </x:row>
    <x:row r="754">
      <x:c r="A754" s="74"/>
      <x:c r="B754" s="74"/>
    </x:row>
    <x:row r="755">
      <x:c r="A755" s="74"/>
      <x:c r="B755" s="74"/>
    </x:row>
    <x:row r="756">
      <x:c r="A756" s="74"/>
      <x:c r="B756" s="74"/>
    </x:row>
    <x:row r="757">
      <x:c r="A757" s="74"/>
      <x:c r="B757" s="74"/>
    </x:row>
    <x:row r="758">
      <x:c r="A758" s="74"/>
      <x:c r="B758" s="74"/>
    </x:row>
    <x:row r="759">
      <x:c r="A759" s="74"/>
      <x:c r="B759" s="74"/>
    </x:row>
    <x:row r="760">
      <x:c r="A760" s="74"/>
      <x:c r="B760" s="74"/>
    </x:row>
    <x:row r="761">
      <x:c r="A761" s="74"/>
      <x:c r="B761" s="74"/>
    </x:row>
    <x:row r="762">
      <x:c r="A762" s="74"/>
      <x:c r="B762" s="74"/>
    </x:row>
    <x:row r="763">
      <x:c r="A763" s="74"/>
      <x:c r="B763" s="74"/>
    </x:row>
    <x:row r="764">
      <x:c r="A764" s="74"/>
      <x:c r="B764" s="74"/>
    </x:row>
    <x:row r="765">
      <x:c r="A765" s="74"/>
      <x:c r="B765" s="74"/>
    </x:row>
    <x:row r="766">
      <x:c r="A766" s="74"/>
      <x:c r="B766" s="74"/>
    </x:row>
    <x:row r="767">
      <x:c r="A767" s="74"/>
      <x:c r="B767" s="74"/>
    </x:row>
    <x:row r="768">
      <x:c r="A768" s="74"/>
      <x:c r="B768" s="74"/>
    </x:row>
    <x:row r="769">
      <x:c r="A769" s="74"/>
      <x:c r="B769" s="74"/>
    </x:row>
    <x:row r="770">
      <x:c r="A770" s="74"/>
      <x:c r="B770" s="74"/>
    </x:row>
    <x:row r="771">
      <x:c r="A771" s="74"/>
      <x:c r="B771" s="74"/>
    </x:row>
    <x:row r="772">
      <x:c r="A772" s="74"/>
      <x:c r="B772" s="74"/>
    </x:row>
    <x:row r="773">
      <x:c r="A773" s="74"/>
      <x:c r="B773" s="74"/>
    </x:row>
    <x:row r="774">
      <x:c r="A774" s="74"/>
      <x:c r="B774" s="74"/>
    </x:row>
    <x:row r="775">
      <x:c r="A775" s="74"/>
      <x:c r="B775" s="74"/>
    </x:row>
    <x:row r="776">
      <x:c r="A776" s="74"/>
      <x:c r="B776" s="74"/>
    </x:row>
    <x:row r="777">
      <x:c r="A777" s="74"/>
      <x:c r="B777" s="74"/>
    </x:row>
    <x:row r="778">
      <x:c r="A778" s="74"/>
      <x:c r="B778" s="74"/>
    </x:row>
    <x:row r="779">
      <x:c r="A779" s="74"/>
      <x:c r="B779" s="74"/>
    </x:row>
    <x:row r="780">
      <x:c r="A780" s="74"/>
      <x:c r="B780" s="74"/>
    </x:row>
    <x:row r="781">
      <x:c r="A781" s="74"/>
      <x:c r="B781" s="74"/>
    </x:row>
    <x:row r="782">
      <x:c r="A782" s="74"/>
      <x:c r="B782" s="74"/>
    </x:row>
    <x:row r="783">
      <x:c r="A783" s="74"/>
      <x:c r="B783" s="74"/>
    </x:row>
    <x:row r="784">
      <x:c r="A784" s="74"/>
      <x:c r="B784" s="74"/>
    </x:row>
    <x:row r="785">
      <x:c r="A785" s="74"/>
      <x:c r="B785" s="74"/>
    </x:row>
    <x:row r="786">
      <x:c r="A786" s="74"/>
      <x:c r="B786" s="74"/>
    </x:row>
    <x:row r="787">
      <x:c r="A787" s="74"/>
      <x:c r="B787" s="74"/>
    </x:row>
    <x:row r="788">
      <x:c r="A788" s="74"/>
      <x:c r="B788" s="74"/>
    </x:row>
    <x:row r="789">
      <x:c r="A789" s="74"/>
      <x:c r="B789" s="74"/>
    </x:row>
    <x:row r="790">
      <x:c r="A790" s="74"/>
      <x:c r="B790" s="74"/>
    </x:row>
    <x:row r="791">
      <x:c r="A791" s="74"/>
      <x:c r="B791" s="74"/>
    </x:row>
    <x:row r="792">
      <x:c r="A792" s="74"/>
      <x:c r="B792" s="74"/>
    </x:row>
    <x:row r="793">
      <x:c r="A793" s="74"/>
      <x:c r="B793" s="74"/>
    </x:row>
    <x:row r="794">
      <x:c r="A794" s="74"/>
      <x:c r="B794" s="74"/>
    </x:row>
    <x:row r="795">
      <x:c r="A795" s="74"/>
      <x:c r="B795" s="74"/>
    </x:row>
    <x:row r="796">
      <x:c r="A796" s="74"/>
      <x:c r="B796" s="74"/>
    </x:row>
    <x:row r="797">
      <x:c r="A797" s="74"/>
      <x:c r="B797" s="74"/>
    </x:row>
    <x:row r="798">
      <x:c r="A798" s="74"/>
      <x:c r="B798" s="74"/>
    </x:row>
    <x:row r="799">
      <x:c r="A799" s="74"/>
      <x:c r="B799" s="74"/>
    </x:row>
    <x:row r="800">
      <x:c r="A800" s="74"/>
      <x:c r="B800" s="74"/>
    </x:row>
    <x:row r="801">
      <x:c r="A801" s="74"/>
      <x:c r="B801" s="74"/>
    </x:row>
    <x:row r="802">
      <x:c r="A802" s="74"/>
      <x:c r="B802" s="74"/>
    </x:row>
    <x:row r="803">
      <x:c r="A803" s="74"/>
      <x:c r="B803" s="74"/>
    </x:row>
    <x:row r="804">
      <x:c r="A804" s="74"/>
      <x:c r="B804" s="74"/>
    </x:row>
    <x:row r="805">
      <x:c r="A805" s="74"/>
      <x:c r="B805" s="74"/>
    </x:row>
    <x:row r="806">
      <x:c r="A806" s="74"/>
      <x:c r="B806" s="74"/>
    </x:row>
    <x:row r="807">
      <x:c r="A807" s="74"/>
      <x:c r="B807" s="74"/>
    </x:row>
    <x:row r="808">
      <x:c r="A808" s="74"/>
      <x:c r="B808" s="74"/>
    </x:row>
    <x:row r="809">
      <x:c r="A809" s="74"/>
      <x:c r="B809" s="74"/>
    </x:row>
    <x:row r="810">
      <x:c r="A810" s="74"/>
      <x:c r="B810" s="74"/>
    </x:row>
    <x:row r="811">
      <x:c r="A811" s="74"/>
      <x:c r="B811" s="74"/>
    </x:row>
    <x:row r="812">
      <x:c r="A812" s="74"/>
      <x:c r="B812" s="74"/>
    </x:row>
    <x:row r="813">
      <x:c r="A813" s="74"/>
      <x:c r="B813" s="74"/>
    </x:row>
    <x:row r="814">
      <x:c r="A814" s="74"/>
      <x:c r="B814" s="74"/>
    </x:row>
    <x:row r="815">
      <x:c r="A815" s="74"/>
      <x:c r="B815" s="74"/>
    </x:row>
    <x:row r="816">
      <x:c r="A816" s="74"/>
      <x:c r="B816" s="74"/>
    </x:row>
    <x:row r="817">
      <x:c r="A817" s="74"/>
      <x:c r="B817" s="74"/>
    </x:row>
    <x:row r="818">
      <x:c r="A818" s="74"/>
      <x:c r="B818" s="74"/>
    </x:row>
    <x:row r="819">
      <x:c r="A819" s="74"/>
      <x:c r="B819" s="74"/>
    </x:row>
    <x:row r="820">
      <x:c r="A820" s="74"/>
      <x:c r="B820" s="74"/>
    </x:row>
    <x:row r="821">
      <x:c r="A821" s="74"/>
      <x:c r="B821" s="74"/>
    </x:row>
    <x:row r="822">
      <x:c r="A822" s="74"/>
      <x:c r="B822" s="74"/>
    </x:row>
    <x:row r="823">
      <x:c r="A823" s="74"/>
      <x:c r="B823" s="74"/>
    </x:row>
    <x:row r="824">
      <x:c r="A824" s="74"/>
      <x:c r="B824" s="74"/>
    </x:row>
    <x:row r="825">
      <x:c r="A825" s="74"/>
      <x:c r="B825" s="74"/>
    </x:row>
    <x:row r="826">
      <x:c r="A826" s="74"/>
      <x:c r="B826" s="74"/>
    </x:row>
    <x:row r="827">
      <x:c r="A827" s="74"/>
      <x:c r="B827" s="74"/>
    </x:row>
    <x:row r="828">
      <x:c r="A828" s="74"/>
      <x:c r="B828" s="74"/>
    </x:row>
    <x:row r="829">
      <x:c r="A829" s="74"/>
      <x:c r="B829" s="74"/>
    </x:row>
    <x:row r="830">
      <x:c r="A830" s="74"/>
      <x:c r="B830" s="74"/>
    </x:row>
    <x:row r="831">
      <x:c r="A831" s="74"/>
      <x:c r="B831" s="74"/>
    </x:row>
    <x:row r="832">
      <x:c r="A832" s="74"/>
      <x:c r="B832" s="74"/>
    </x:row>
    <x:row r="833">
      <x:c r="A833" s="74"/>
      <x:c r="B833" s="74"/>
    </x:row>
    <x:row r="834">
      <x:c r="A834" s="74"/>
      <x:c r="B834" s="74"/>
    </x:row>
    <x:row r="835">
      <x:c r="A835" s="74"/>
      <x:c r="B835" s="74"/>
    </x:row>
    <x:row r="836">
      <x:c r="A836" s="74"/>
      <x:c r="B836" s="74"/>
    </x:row>
    <x:row r="837">
      <x:c r="A837" s="74"/>
      <x:c r="B837" s="74"/>
    </x:row>
    <x:row r="838">
      <x:c r="A838" s="74"/>
      <x:c r="B838" s="74"/>
    </x:row>
    <x:row r="839">
      <x:c r="A839" s="74"/>
      <x:c r="B839" s="74"/>
    </x:row>
    <x:row r="840">
      <x:c r="A840" s="74"/>
      <x:c r="B840" s="74"/>
    </x:row>
    <x:row r="841">
      <x:c r="A841" s="74"/>
      <x:c r="B841" s="74"/>
    </x:row>
    <x:row r="842">
      <x:c r="A842" s="74"/>
      <x:c r="B842" s="74"/>
    </x:row>
    <x:row r="843">
      <x:c r="A843" s="74"/>
      <x:c r="B843" s="74"/>
    </x:row>
    <x:row r="844">
      <x:c r="A844" s="74"/>
      <x:c r="B844" s="74"/>
    </x:row>
    <x:row r="845">
      <x:c r="A845" s="74"/>
      <x:c r="B845" s="74"/>
    </x:row>
    <x:row r="846">
      <x:c r="A846" s="74"/>
      <x:c r="B846" s="74"/>
    </x:row>
    <x:row r="847">
      <x:c r="A847" s="74"/>
      <x:c r="B847" s="74"/>
    </x:row>
    <x:row r="848">
      <x:c r="A848" s="74"/>
      <x:c r="B848" s="74"/>
    </x:row>
    <x:row r="849">
      <x:c r="A849" s="74"/>
      <x:c r="B849" s="74"/>
    </x:row>
    <x:row r="850">
      <x:c r="A850" s="74"/>
      <x:c r="B850" s="74"/>
    </x:row>
    <x:row r="851">
      <x:c r="A851" s="74"/>
      <x:c r="B851" s="74"/>
    </x:row>
    <x:row r="852">
      <x:c r="A852" s="74"/>
      <x:c r="B852" s="74"/>
    </x:row>
    <x:row r="853">
      <x:c r="A853" s="74"/>
      <x:c r="B853" s="74"/>
    </x:row>
    <x:row r="854">
      <x:c r="A854" s="74"/>
      <x:c r="B854" s="74"/>
    </x:row>
    <x:row r="855">
      <x:c r="A855" s="74"/>
      <x:c r="B855" s="74"/>
    </x:row>
    <x:row r="856">
      <x:c r="A856" s="74"/>
      <x:c r="B856" s="74"/>
    </x:row>
    <x:row r="857">
      <x:c r="A857" s="74"/>
      <x:c r="B857" s="74"/>
    </x:row>
    <x:row r="858">
      <x:c r="A858" s="74"/>
      <x:c r="B858" s="74"/>
    </x:row>
    <x:row r="859">
      <x:c r="A859" s="74"/>
      <x:c r="B859" s="74"/>
    </x:row>
    <x:row r="860">
      <x:c r="A860" s="74"/>
      <x:c r="B860" s="74"/>
    </x:row>
    <x:row r="861">
      <x:c r="A861" s="74"/>
      <x:c r="B861" s="74"/>
    </x:row>
    <x:row r="862">
      <x:c r="A862" s="74"/>
      <x:c r="B862" s="74"/>
    </x:row>
    <x:row r="863">
      <x:c r="A863" s="74"/>
      <x:c r="B863" s="74"/>
    </x:row>
    <x:row r="864">
      <x:c r="A864" s="74"/>
      <x:c r="B864" s="74"/>
    </x:row>
    <x:row r="865">
      <x:c r="A865" s="74"/>
      <x:c r="B865" s="74"/>
    </x:row>
    <x:row r="866">
      <x:c r="A866" s="74"/>
      <x:c r="B866" s="74"/>
    </x:row>
    <x:row r="867">
      <x:c r="A867" s="74"/>
      <x:c r="B867" s="74"/>
    </x:row>
    <x:row r="868">
      <x:c r="A868" s="74"/>
      <x:c r="B868" s="74"/>
    </x:row>
    <x:row r="869">
      <x:c r="A869" s="74"/>
      <x:c r="B869" s="74"/>
    </x:row>
    <x:row r="870">
      <x:c r="A870" s="74"/>
      <x:c r="B870" s="74"/>
    </x:row>
    <x:row r="871">
      <x:c r="A871" s="74"/>
      <x:c r="B871" s="74"/>
    </x:row>
    <x:row r="872">
      <x:c r="A872" s="74"/>
      <x:c r="B872" s="74"/>
    </x:row>
    <x:row r="873">
      <x:c r="A873" s="74"/>
      <x:c r="B873" s="74"/>
    </x:row>
    <x:row r="874">
      <x:c r="A874" s="74"/>
      <x:c r="B874" s="74"/>
    </x:row>
    <x:row r="875">
      <x:c r="A875" s="74"/>
      <x:c r="B875" s="74"/>
    </x:row>
    <x:row r="876">
      <x:c r="A876" s="74"/>
      <x:c r="B876" s="74"/>
    </x:row>
    <x:row r="877">
      <x:c r="A877" s="74"/>
      <x:c r="B877" s="74"/>
    </x:row>
    <x:row r="878">
      <x:c r="A878" s="74"/>
      <x:c r="B878" s="74"/>
    </x:row>
    <x:row r="879">
      <x:c r="A879" s="74"/>
      <x:c r="B879" s="74"/>
    </x:row>
    <x:row r="880">
      <x:c r="A880" s="74"/>
      <x:c r="B880" s="74"/>
    </x:row>
    <x:row r="881">
      <x:c r="A881" s="74"/>
      <x:c r="B881" s="74"/>
    </x:row>
    <x:row r="882">
      <x:c r="A882" s="74"/>
      <x:c r="B882" s="74"/>
    </x:row>
    <x:row r="883">
      <x:c r="A883" s="74"/>
      <x:c r="B883" s="74"/>
    </x:row>
    <x:row r="884">
      <x:c r="A884" s="74"/>
      <x:c r="B884" s="74"/>
    </x:row>
    <x:row r="885">
      <x:c r="A885" s="74"/>
      <x:c r="B885" s="74"/>
    </x:row>
    <x:row r="886">
      <x:c r="A886" s="74"/>
      <x:c r="B886" s="74"/>
    </x:row>
    <x:row r="887">
      <x:c r="A887" s="74"/>
      <x:c r="B887" s="74"/>
    </x:row>
    <x:row r="888">
      <x:c r="A888" s="74"/>
      <x:c r="B888" s="74"/>
    </x:row>
    <x:row r="889">
      <x:c r="A889" s="74"/>
      <x:c r="B889" s="74"/>
    </x:row>
    <x:row r="890">
      <x:c r="A890" s="74"/>
      <x:c r="B890" s="74"/>
    </x:row>
    <x:row r="891">
      <x:c r="A891" s="74"/>
      <x:c r="B891" s="74"/>
    </x:row>
    <x:row r="892">
      <x:c r="A892" s="74"/>
      <x:c r="B892" s="74"/>
    </x:row>
    <x:row r="893">
      <x:c r="A893" s="74"/>
      <x:c r="B893" s="74"/>
    </x:row>
    <x:row r="894">
      <x:c r="A894" s="74"/>
      <x:c r="B894" s="74"/>
    </x:row>
    <x:row r="895">
      <x:c r="A895" s="74"/>
      <x:c r="B895" s="74"/>
    </x:row>
    <x:row r="896">
      <x:c r="A896" s="74"/>
      <x:c r="B896" s="74"/>
    </x:row>
    <x:row r="897">
      <x:c r="A897" s="74"/>
      <x:c r="B897" s="74"/>
    </x:row>
    <x:row r="898">
      <x:c r="A898" s="74"/>
      <x:c r="B898" s="74"/>
    </x:row>
    <x:row r="899">
      <x:c r="A899" s="74"/>
      <x:c r="B899" s="74"/>
    </x:row>
    <x:row r="900">
      <x:c r="A900" s="74"/>
      <x:c r="B900" s="74"/>
    </x:row>
    <x:row r="901">
      <x:c r="A901" s="74"/>
      <x:c r="B901" s="74"/>
    </x:row>
    <x:row r="902">
      <x:c r="A902" s="74"/>
      <x:c r="B902" s="74"/>
    </x:row>
    <x:row r="903">
      <x:c r="A903" s="74"/>
      <x:c r="B903" s="74"/>
    </x:row>
    <x:row r="904">
      <x:c r="A904" s="74"/>
      <x:c r="B904" s="74"/>
    </x:row>
    <x:row r="905">
      <x:c r="A905" s="74"/>
      <x:c r="B905" s="74"/>
    </x:row>
    <x:row r="906">
      <x:c r="A906" s="74"/>
      <x:c r="B906" s="74"/>
    </x:row>
    <x:row r="907">
      <x:c r="A907" s="74"/>
      <x:c r="B907" s="74"/>
    </x:row>
    <x:row r="908">
      <x:c r="A908" s="74"/>
      <x:c r="B908" s="74"/>
    </x:row>
    <x:row r="909">
      <x:c r="A909" s="74"/>
      <x:c r="B909" s="74"/>
    </x:row>
    <x:row r="910">
      <x:c r="A910" s="74"/>
      <x:c r="B910" s="74"/>
    </x:row>
    <x:row r="911">
      <x:c r="A911" s="74"/>
      <x:c r="B911" s="74"/>
    </x:row>
    <x:row r="912">
      <x:c r="A912" s="74"/>
      <x:c r="B912" s="74"/>
    </x:row>
    <x:row r="913">
      <x:c r="A913" s="74"/>
      <x:c r="B913" s="74"/>
    </x:row>
    <x:row r="914">
      <x:c r="A914" s="74"/>
      <x:c r="B914" s="74"/>
    </x:row>
    <x:row r="915">
      <x:c r="A915" s="74"/>
      <x:c r="B915" s="74"/>
    </x:row>
    <x:row r="916">
      <x:c r="A916" s="74"/>
      <x:c r="B916" s="74"/>
    </x:row>
    <x:row r="917">
      <x:c r="A917" s="74"/>
      <x:c r="B917" s="74"/>
    </x:row>
    <x:row r="918">
      <x:c r="A918" s="74"/>
      <x:c r="B918" s="74"/>
    </x:row>
    <x:row r="919">
      <x:c r="A919" s="74"/>
      <x:c r="B919" s="74"/>
    </x:row>
    <x:row r="920">
      <x:c r="A920" s="74"/>
      <x:c r="B920" s="74"/>
    </x:row>
    <x:row r="921">
      <x:c r="A921" s="74"/>
      <x:c r="B921" s="74"/>
    </x:row>
    <x:row r="922">
      <x:c r="A922" s="74"/>
      <x:c r="B922" s="74"/>
    </x:row>
    <x:row r="923">
      <x:c r="A923" s="74"/>
      <x:c r="B923" s="74"/>
    </x:row>
    <x:row r="924">
      <x:c r="A924" s="74"/>
      <x:c r="B924" s="74"/>
    </x:row>
    <x:row r="925">
      <x:c r="A925" s="74"/>
      <x:c r="B925" s="74"/>
    </x:row>
    <x:row r="926">
      <x:c r="A926" s="74"/>
      <x:c r="B926" s="74"/>
    </x:row>
    <x:row r="927">
      <x:c r="A927" s="74"/>
      <x:c r="B927" s="74"/>
    </x:row>
    <x:row r="928">
      <x:c r="A928" s="74"/>
      <x:c r="B928" s="74"/>
    </x:row>
    <x:row r="929">
      <x:c r="A929" s="74"/>
      <x:c r="B929" s="74"/>
    </x:row>
    <x:row r="930">
      <x:c r="A930" s="74"/>
      <x:c r="B930" s="74"/>
    </x:row>
    <x:row r="931">
      <x:c r="A931" s="74"/>
      <x:c r="B931" s="74"/>
    </x:row>
    <x:row r="932">
      <x:c r="A932" s="74"/>
      <x:c r="B932" s="74"/>
    </x:row>
    <x:row r="933">
      <x:c r="A933" s="74"/>
      <x:c r="B933" s="74"/>
    </x:row>
    <x:row r="934">
      <x:c r="A934" s="74"/>
      <x:c r="B934" s="74"/>
    </x:row>
    <x:row r="935">
      <x:c r="A935" s="74"/>
      <x:c r="B935" s="74"/>
    </x:row>
    <x:row r="936">
      <x:c r="A936" s="74"/>
      <x:c r="B936" s="74"/>
    </x:row>
    <x:row r="937">
      <x:c r="A937" s="74"/>
      <x:c r="B937" s="74"/>
    </x:row>
    <x:row r="938">
      <x:c r="A938" s="74"/>
      <x:c r="B938" s="74"/>
    </x:row>
    <x:row r="939">
      <x:c r="A939" s="74"/>
      <x:c r="B939" s="74"/>
    </x:row>
    <x:row r="940">
      <x:c r="A940" s="74"/>
      <x:c r="B940" s="74"/>
    </x:row>
    <x:row r="941">
      <x:c r="A941" s="74"/>
      <x:c r="B941" s="74"/>
    </x:row>
    <x:row r="942">
      <x:c r="A942" s="74"/>
      <x:c r="B942" s="74"/>
    </x:row>
    <x:row r="943">
      <x:c r="A943" s="74"/>
      <x:c r="B943" s="74"/>
    </x:row>
    <x:row r="944">
      <x:c r="A944" s="74"/>
      <x:c r="B944" s="74"/>
    </x:row>
    <x:row r="945">
      <x:c r="A945" s="74"/>
      <x:c r="B945" s="74"/>
    </x:row>
    <x:row r="946">
      <x:c r="A946" s="74"/>
      <x:c r="B946" s="74"/>
    </x:row>
    <x:row r="947">
      <x:c r="A947" s="74"/>
      <x:c r="B947" s="74"/>
    </x:row>
    <x:row r="948">
      <x:c r="A948" s="74"/>
      <x:c r="B948" s="74"/>
    </x:row>
    <x:row r="949">
      <x:c r="A949" s="74"/>
      <x:c r="B949" s="74"/>
    </x:row>
    <x:row r="950">
      <x:c r="A950" s="74"/>
      <x:c r="B950" s="74"/>
    </x:row>
    <x:row r="951">
      <x:c r="A951" s="74"/>
      <x:c r="B951" s="74"/>
    </x:row>
    <x:row r="952">
      <x:c r="A952" s="74"/>
      <x:c r="B952" s="74"/>
    </x:row>
    <x:row r="953">
      <x:c r="A953" s="74"/>
      <x:c r="B953" s="74"/>
    </x:row>
    <x:row r="954">
      <x:c r="A954" s="74"/>
      <x:c r="B954" s="74"/>
    </x:row>
    <x:row r="955">
      <x:c r="A955" s="74"/>
      <x:c r="B955" s="74"/>
    </x:row>
    <x:row r="956">
      <x:c r="A956" s="74"/>
      <x:c r="B956" s="74"/>
    </x:row>
    <x:row r="957">
      <x:c r="A957" s="74"/>
      <x:c r="B957" s="74"/>
    </x:row>
    <x:row r="958">
      <x:c r="A958" s="74"/>
      <x:c r="B958" s="74"/>
    </x:row>
    <x:row r="959">
      <x:c r="A959" s="74"/>
      <x:c r="B959" s="74"/>
    </x:row>
    <x:row r="960">
      <x:c r="A960" s="74"/>
      <x:c r="B960" s="74"/>
    </x:row>
    <x:row r="961">
      <x:c r="A961" s="74"/>
      <x:c r="B961" s="74"/>
    </x:row>
    <x:row r="962">
      <x:c r="A962" s="74"/>
      <x:c r="B962" s="74"/>
    </x:row>
    <x:row r="963">
      <x:c r="A963" s="74"/>
      <x:c r="B963" s="74"/>
    </x:row>
    <x:row r="964">
      <x:c r="A964" s="74"/>
      <x:c r="B964" s="74"/>
    </x:row>
    <x:row r="965">
      <x:c r="A965" s="74"/>
      <x:c r="B965" s="74"/>
    </x:row>
    <x:row r="966">
      <x:c r="A966" s="74"/>
      <x:c r="B966" s="74"/>
    </x:row>
    <x:row r="967">
      <x:c r="A967" s="74"/>
      <x:c r="B967" s="74"/>
    </x:row>
    <x:row r="968">
      <x:c r="A968" s="74"/>
      <x:c r="B968" s="74"/>
    </x:row>
    <x:row r="969">
      <x:c r="A969" s="74"/>
      <x:c r="B969" s="74"/>
    </x:row>
    <x:row r="970">
      <x:c r="A970" s="74"/>
      <x:c r="B970" s="74"/>
    </x:row>
    <x:row r="971">
      <x:c r="A971" s="74"/>
      <x:c r="B971" s="74"/>
    </x:row>
    <x:row r="972">
      <x:c r="A972" s="74"/>
      <x:c r="B972" s="74"/>
    </x:row>
    <x:row r="973">
      <x:c r="A973" s="74"/>
      <x:c r="B973" s="74"/>
    </x:row>
    <x:row r="974">
      <x:c r="A974" s="74"/>
      <x:c r="B974" s="74"/>
    </x:row>
    <x:row r="975">
      <x:c r="A975" s="74"/>
      <x:c r="B975" s="74"/>
    </x:row>
    <x:row r="976">
      <x:c r="A976" s="74"/>
      <x:c r="B976" s="74"/>
    </x:row>
    <x:row r="977">
      <x:c r="A977" s="74"/>
      <x:c r="B977" s="74"/>
    </x:row>
    <x:row r="978">
      <x:c r="A978" s="74"/>
      <x:c r="B978" s="74"/>
    </x:row>
    <x:row r="979">
      <x:c r="A979" s="74"/>
      <x:c r="B979" s="74"/>
    </x:row>
    <x:row r="980">
      <x:c r="A980" s="74"/>
      <x:c r="B980" s="74"/>
    </x:row>
    <x:row r="981">
      <x:c r="A981" s="74"/>
      <x:c r="B981" s="74"/>
    </x:row>
    <x:row r="982">
      <x:c r="A982" s="74"/>
      <x:c r="B982" s="74"/>
    </x:row>
    <x:row r="983">
      <x:c r="A983" s="74"/>
      <x:c r="B983" s="74"/>
    </x:row>
    <x:row r="984">
      <x:c r="A984" s="74"/>
      <x:c r="B984" s="74"/>
    </x:row>
    <x:row r="985">
      <x:c r="A985" s="74"/>
      <x:c r="B985" s="74"/>
    </x:row>
    <x:row r="986">
      <x:c r="A986" s="74"/>
      <x:c r="B986" s="74"/>
    </x:row>
    <x:row r="987">
      <x:c r="A987" s="74"/>
      <x:c r="B987" s="74"/>
    </x:row>
    <x:row r="988">
      <x:c r="A988" s="74"/>
      <x:c r="B988" s="74"/>
    </x:row>
    <x:row r="989">
      <x:c r="A989" s="74"/>
      <x:c r="B989" s="74"/>
    </x:row>
    <x:row r="990">
      <x:c r="A990" s="74"/>
      <x:c r="B990" s="74"/>
    </x:row>
    <x:row r="991">
      <x:c r="A991" s="74"/>
      <x:c r="B991" s="74"/>
    </x:row>
    <x:row r="992">
      <x:c r="A992" s="74"/>
      <x:c r="B992" s="74"/>
    </x:row>
    <x:row r="993">
      <x:c r="A993" s="74"/>
      <x:c r="B993" s="74"/>
    </x:row>
    <x:row r="994">
      <x:c r="A994" s="74"/>
      <x:c r="B994" s="74"/>
    </x:row>
    <x:row r="995">
      <x:c r="A995" s="74"/>
      <x:c r="B995" s="74"/>
    </x:row>
    <x:row r="996">
      <x:c r="A996" s="74"/>
      <x:c r="B996" s="74"/>
    </x:row>
    <x:row r="997">
      <x:c r="A997" s="74"/>
      <x:c r="B997" s="74"/>
    </x:row>
    <x:row r="998">
      <x:c r="A998" s="74"/>
      <x:c r="B998" s="74"/>
    </x:row>
    <x:row r="999">
      <x:c r="A999" s="74"/>
      <x:c r="B999" s="74"/>
    </x:row>
    <x:row r="1000">
      <x:c r="A1000" s="74"/>
      <x:c r="B1000" s="74"/>
    </x:row>
    <x:row r="1001">
      <x:c r="A1001" s="74"/>
      <x:c r="B1001" s="74"/>
    </x:row>
    <x:row r="1002" ht="15.75" customHeight="1">
      <x:c r="A1002" s="74"/>
      <x:c r="B1002" s="74"/>
    </x:row>
  </x:sheetData>
  <x:mergeCells>
    <x:mergeCell ref="A1:D1"/>
  </x:mergeCells>
  <x:pageMargins left="0.7" right="0.7" top="0.75" bottom="0.75" header="0.3" footer="0.3"/>
</x:worksheet>
</file>