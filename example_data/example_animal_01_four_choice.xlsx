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ETADATA" sheetId="1" state="visible" r:id="rId1"/>
    <sheet xmlns:r="http://schemas.openxmlformats.org/officeDocument/2006/relationships" name="WEIGHT" sheetId="2" state="visible" r:id="rId2"/>
    <sheet xmlns:r="http://schemas.openxmlformats.org/officeDocument/2006/relationships" name="ACCLIM" sheetId="3" state="visible" r:id="rId3"/>
    <sheet xmlns:r="http://schemas.openxmlformats.org/officeDocument/2006/relationships" name="SHAPE" sheetId="4" state="visible" r:id="rId4"/>
    <sheet xmlns:r="http://schemas.openxmlformats.org/officeDocument/2006/relationships" name="DISC" sheetId="5" state="visible" r:id="rId5"/>
    <sheet xmlns:r="http://schemas.openxmlformats.org/officeDocument/2006/relationships" name="RECALL" sheetId="6" state="visible" r:id="rId6"/>
    <sheet xmlns:r="http://schemas.openxmlformats.org/officeDocument/2006/relationships" name="REV" sheetId="7" state="visible" r:id="rId7"/>
    <sheet xmlns:r="http://schemas.openxmlformats.org/officeDocument/2006/relationships" name="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h:mm:ss am/pm"/>
    <numFmt numFmtId="165" formatCode="M/d/yyyy"/>
    <numFmt numFmtId="166" formatCode="0.0"/>
    <numFmt numFmtId="167" formatCode="0.0%"/>
  </numFmts>
  <fonts count="16">
    <font>
      <name val="Aptos Narrow"/>
      <color theme="1"/>
      <sz val="11"/>
      <scheme val="minor"/>
    </font>
    <font>
      <name val="Aptos Narrow"/>
      <b val="1"/>
      <color rgb="FFFFFFFF"/>
      <sz val="12"/>
    </font>
    <font/>
    <font>
      <name val="Arial"/>
      <b val="1"/>
      <color rgb="FFFFFFFF"/>
      <sz val="16"/>
    </font>
    <font>
      <name val="Aptos Narrow"/>
      <color theme="1"/>
      <sz val="11"/>
    </font>
    <font>
      <name val="Aptos Narrow"/>
      <b val="1"/>
      <color theme="1"/>
      <sz val="11"/>
    </font>
    <font>
      <name val="Arial"/>
      <color theme="1"/>
      <sz val="11"/>
    </font>
    <font>
      <name val="Aptos Narrow"/>
      <i val="1"/>
      <color theme="1"/>
      <sz val="11"/>
    </font>
    <font>
      <name val="Arial"/>
      <b val="1"/>
      <color theme="1"/>
      <sz val="11"/>
    </font>
    <font>
      <name val="Aptos Narrow"/>
      <b val="1"/>
      <color rgb="FFFFFFFF"/>
      <sz val="11"/>
    </font>
    <font>
      <name val="&quot;Aptos Narrow&quot;"/>
      <color rgb="FF000000"/>
      <sz val="11"/>
    </font>
    <font>
      <name val="Arial"/>
      <b val="1"/>
      <color rgb="FFFFFFFF"/>
      <sz val="11"/>
    </font>
    <font>
      <name val="Arial"/>
      <color rgb="FFFF0000"/>
      <sz val="11"/>
    </font>
    <font>
      <name val="Aptos Narrow"/>
      <color theme="1"/>
      <scheme val="minor"/>
    </font>
    <font>
      <name val="Aptos Narrow"/>
      <color rgb="FF000000"/>
      <sz val="11"/>
    </font>
    <font>
      <name val="Arial"/>
      <b val="1"/>
      <color rgb="FFFFFFFF"/>
      <sz val="12"/>
    </font>
  </fonts>
  <fills count="10">
    <fill>
      <patternFill/>
    </fill>
    <fill>
      <patternFill patternType="lightGray"/>
    </fill>
    <fill>
      <patternFill patternType="solid">
        <fgColor rgb="FF2E75B6"/>
        <bgColor rgb="FF2E75B6"/>
      </patternFill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5B9BD5"/>
        <bgColor rgb="FF5B9BD5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C6EFCE"/>
        <bgColor rgb="FFC6EFCE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</border>
    <border>
      <left/>
      <right/>
      <top/>
      <bottom/>
    </border>
  </borders>
  <cellStyleXfs count="1">
    <xf numFmtId="0" fontId="0" fillId="0" borderId="0"/>
  </cellStyleXfs>
  <cellXfs count="6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3" fillId="3" borderId="1" applyAlignment="1" pivotButton="0" quotePrefix="0" xfId="0">
      <alignment horizontal="center" vertical="center"/>
    </xf>
    <xf numFmtId="0" fontId="2" fillId="0" borderId="3" pivotButton="0" quotePrefix="0" xfId="0"/>
    <xf numFmtId="0" fontId="4" fillId="0" borderId="0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164" fontId="6" fillId="0" borderId="4" applyAlignment="1" pivotButton="0" quotePrefix="0" xfId="0">
      <alignment horizontal="center" vertical="bottom"/>
    </xf>
    <xf numFmtId="0" fontId="5" fillId="4" borderId="4" applyAlignment="1" pivotButton="0" quotePrefix="0" xfId="0">
      <alignment horizontal="center" vertical="center" wrapText="1"/>
    </xf>
    <xf numFmtId="18" fontId="4" fillId="5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center"/>
    </xf>
    <xf numFmtId="0" fontId="8" fillId="4" borderId="4" applyAlignment="1" pivotButton="0" quotePrefix="0" xfId="0">
      <alignment horizontal="center" vertical="center"/>
    </xf>
    <xf numFmtId="165" fontId="6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165" fontId="6" fillId="0" borderId="4" applyAlignment="1" pivotButton="0" quotePrefix="0" xfId="0">
      <alignment horizontal="center"/>
    </xf>
    <xf numFmtId="164" fontId="6" fillId="0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 wrapText="1"/>
    </xf>
    <xf numFmtId="164" fontId="6" fillId="0" borderId="4" applyAlignment="1" pivotButton="0" quotePrefix="0" xfId="0">
      <alignment horizontal="center"/>
    </xf>
    <xf numFmtId="0" fontId="10" fillId="0" borderId="4" applyAlignment="1" pivotButton="0" quotePrefix="0" xfId="0">
      <alignment horizontal="left"/>
    </xf>
    <xf numFmtId="0" fontId="11" fillId="6" borderId="4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165" fontId="4" fillId="0" borderId="4" applyAlignment="1" pivotButton="0" quotePrefix="0" xfId="0">
      <alignment horizontal="center" vertical="center"/>
    </xf>
    <xf numFmtId="49" fontId="12" fillId="0" borderId="4" applyAlignment="1" pivotButton="0" quotePrefix="0" xfId="0">
      <alignment horizontal="center"/>
    </xf>
    <xf numFmtId="49" fontId="6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center" vertical="center"/>
    </xf>
    <xf numFmtId="0" fontId="4" fillId="5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1" fontId="4" fillId="0" borderId="4" applyAlignment="1" pivotButton="0" quotePrefix="0" xfId="0">
      <alignment horizontal="center" vertical="center"/>
    </xf>
    <xf numFmtId="2" fontId="4" fillId="5" borderId="4" applyAlignment="1" pivotButton="0" quotePrefix="0" xfId="0">
      <alignment horizontal="center" vertical="center"/>
    </xf>
    <xf numFmtId="166" fontId="6" fillId="0" borderId="4" applyAlignment="1" pivotButton="0" quotePrefix="0" xfId="0">
      <alignment horizontal="center" vertical="center"/>
    </xf>
    <xf numFmtId="166" fontId="6" fillId="0" borderId="4" applyAlignment="1" pivotButton="0" quotePrefix="0" xfId="0">
      <alignment horizontal="center"/>
    </xf>
    <xf numFmtId="167" fontId="4" fillId="5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8" fillId="4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164" fontId="6" fillId="0" borderId="4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5" fillId="7" borderId="4" applyAlignment="1" pivotButton="0" quotePrefix="0" xfId="0">
      <alignment horizontal="center" vertical="center"/>
    </xf>
    <xf numFmtId="0" fontId="4" fillId="7" borderId="4" applyAlignment="1" pivotButton="0" quotePrefix="0" xfId="0">
      <alignment horizontal="center" vertical="center"/>
    </xf>
    <xf numFmtId="0" fontId="14" fillId="8" borderId="4" applyAlignment="1" pivotButton="0" quotePrefix="0" xfId="0">
      <alignment horizontal="center" vertical="center"/>
    </xf>
    <xf numFmtId="49" fontId="4" fillId="0" borderId="4" applyAlignment="1" pivotButton="0" quotePrefix="0" xfId="0">
      <alignment horizontal="center" vertical="center"/>
    </xf>
    <xf numFmtId="0" fontId="6" fillId="7" borderId="4" applyAlignment="1" pivotButton="0" quotePrefix="0" xfId="0">
      <alignment horizontal="center" vertical="center"/>
    </xf>
    <xf numFmtId="0" fontId="14" fillId="7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9" borderId="4" applyAlignment="1" pivotButton="0" quotePrefix="0" xfId="0">
      <alignment horizontal="center" vertical="center"/>
    </xf>
    <xf numFmtId="1" fontId="4" fillId="0" borderId="4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4" fillId="0" borderId="4" pivotButton="0" quotePrefix="0" xfId="0"/>
    <xf numFmtId="0" fontId="15" fillId="2" borderId="1" applyAlignment="1" pivotButton="0" quotePrefix="0" xfId="0">
      <alignment horizontal="center" vertical="center"/>
    </xf>
    <xf numFmtId="0" fontId="4" fillId="0" borderId="0" pivotButton="0" quotePrefix="0" xfId="0"/>
    <xf numFmtId="1" fontId="4" fillId="5" borderId="4" applyAlignment="1" pivotButton="0" quotePrefix="0" xfId="0">
      <alignment horizontal="center" vertical="center"/>
    </xf>
    <xf numFmtId="166" fontId="4" fillId="5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pivotButton="0" quotePrefix="0" xfId="0"/>
    <xf numFmtId="0" fontId="3" fillId="3" borderId="5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9" fillId="2" borderId="5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</cellXfs>
  <cellStyles count="1">
    <cellStyle name="Normal" xfId="0" builtinId="0"/>
  </cellStyles>
  <dxfs count="5"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974706"/>
      </font>
      <fill>
        <patternFill patternType="solid">
          <fgColor rgb="FFFCE4D6"/>
          <bgColor rgb="FFFCE4D6"/>
        </patternFill>
      </fill>
      <border/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1F4E78"/>
      </font>
      <fill>
        <patternFill patternType="solid">
          <fgColor rgb="FFD9E1F2"/>
          <bgColor rgb="FFD9E1F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selection activeCell="A1" sqref="A1"/>
    </sheetView>
  </sheetViews>
  <sheetFormatPr baseColWidth="8" defaultColWidth="12.63" defaultRowHeight="15" customHeight="1"/>
  <cols>
    <col width="30.13" customWidth="1" style="62" min="1" max="1"/>
    <col width="18.25" customWidth="1" style="62" min="2" max="2"/>
    <col width="35.63" customWidth="1" style="62" min="3" max="3"/>
    <col width="18.25" customWidth="1" style="62" min="4" max="4"/>
    <col width="36.38" customWidth="1" style="62" min="5" max="5"/>
    <col width="18.25" customWidth="1" style="62" min="6" max="6"/>
    <col width="32.5" customWidth="1" style="62" min="7" max="7"/>
    <col width="18.25" customWidth="1" style="62" min="8" max="8"/>
  </cols>
  <sheetData>
    <row r="1" ht="60" customHeight="1" s="62">
      <c r="A1" s="63" t="inlineStr">
        <is>
          <t>Four Choice Reporting METADATA</t>
        </is>
      </c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4.25" customHeight="1" s="6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30" customHeight="1" s="62">
      <c r="A3" s="64" t="inlineStr">
        <is>
          <t>SECTION 1 — Animal Info</t>
        </is>
      </c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4.25" customHeight="1" s="62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4.25" customHeight="1" s="62">
      <c r="A5" s="38" t="inlineStr">
        <is>
          <t>Animal #: (XXX001)</t>
        </is>
      </c>
      <c r="B5" s="51" t="inlineStr">
        <is>
          <t>Example_Animal_01</t>
        </is>
      </c>
      <c r="C5" s="38" t="inlineStr">
        <is>
          <t>Strain</t>
        </is>
      </c>
      <c r="D5" s="29" t="inlineStr">
        <is>
          <t>C57BL/6</t>
        </is>
      </c>
      <c r="E5" s="38" t="inlineStr">
        <is>
          <t>DOB (mm/dd/yyyy)</t>
        </is>
      </c>
      <c r="F5" s="16" t="n">
        <v>46062</v>
      </c>
      <c r="G5" s="38" t="inlineStr">
        <is>
          <t># Of Mice In Homecage At Testing</t>
        </is>
      </c>
      <c r="H5" s="51" t="n">
        <v>2</v>
      </c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4.25" customHeight="1" s="62">
      <c r="A6" s="6" t="inlineStr">
        <is>
          <t>Adversity Condition</t>
        </is>
      </c>
      <c r="B6" s="51" t="inlineStr">
        <is>
          <t>N/A</t>
        </is>
      </c>
      <c r="C6" s="38" t="inlineStr">
        <is>
          <t>Genotype</t>
        </is>
      </c>
      <c r="D6" s="29" t="inlineStr">
        <is>
          <t>Wildtype</t>
        </is>
      </c>
      <c r="E6" s="38" t="inlineStr">
        <is>
          <t># Of Mice In Birth Litter ~P5-20</t>
        </is>
      </c>
      <c r="F6" s="23" t="inlineStr">
        <is>
          <t>Unknown</t>
        </is>
      </c>
      <c r="G6" s="38" t="inlineStr">
        <is>
          <t>Rank in Homecage</t>
        </is>
      </c>
      <c r="H6" s="51" t="inlineStr">
        <is>
          <t>Unknown</t>
        </is>
      </c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4.25" customHeight="1" s="62">
      <c r="A7" s="38" t="inlineStr">
        <is>
          <t>Adversity Age Range (PXX-XX)</t>
        </is>
      </c>
      <c r="B7" s="51" t="inlineStr">
        <is>
          <t>N/A</t>
        </is>
      </c>
      <c r="C7" s="6" t="inlineStr">
        <is>
          <t>Vendor</t>
        </is>
      </c>
      <c r="D7" s="29" t="inlineStr">
        <is>
          <t>NIH (Jackson)</t>
        </is>
      </c>
      <c r="E7" s="38" t="inlineStr">
        <is>
          <t>P20-22 Weight</t>
        </is>
      </c>
      <c r="F7" s="23" t="inlineStr">
        <is>
          <t>Unknown</t>
        </is>
      </c>
      <c r="G7" s="38" t="inlineStr">
        <is>
          <t>Home cage Nesting Material (Y/N)</t>
        </is>
      </c>
      <c r="H7" s="51" t="inlineStr">
        <is>
          <t>Y</t>
        </is>
      </c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4.25" customHeight="1" s="62">
      <c r="A8" s="38" t="inlineStr">
        <is>
          <t>Experiment Cohort</t>
        </is>
      </c>
      <c r="B8" s="51" t="inlineStr">
        <is>
          <t>ARC</t>
        </is>
      </c>
      <c r="C8" s="38" t="inlineStr">
        <is>
          <t>Bred On Site or Shipped</t>
        </is>
      </c>
      <c r="D8" s="29" t="inlineStr">
        <is>
          <t>Shipped</t>
        </is>
      </c>
      <c r="E8" s="38" t="inlineStr">
        <is>
          <t>Age at Weaning</t>
        </is>
      </c>
      <c r="F8" s="23" t="inlineStr">
        <is>
          <t>Unknown</t>
        </is>
      </c>
      <c r="G8" s="38" t="inlineStr">
        <is>
          <t>Home Cage Hut (Y/N)</t>
        </is>
      </c>
      <c r="H8" s="51" t="inlineStr">
        <is>
          <t>N</t>
        </is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4.25" customHeight="1" s="62">
      <c r="A9" s="38" t="inlineStr">
        <is>
          <t>Sex (M/F)</t>
        </is>
      </c>
      <c r="B9" s="51" t="inlineStr">
        <is>
          <t>M</t>
        </is>
      </c>
      <c r="C9" s="38" t="inlineStr">
        <is>
          <t>Shipping age</t>
        </is>
      </c>
      <c r="D9" s="29" t="n"/>
      <c r="E9" s="38" t="n"/>
      <c r="F9" s="29" t="n"/>
      <c r="G9" s="38" t="inlineStr">
        <is>
          <t>Home Cage Chewing material (Y/N)</t>
        </is>
      </c>
      <c r="H9" s="51" t="inlineStr">
        <is>
          <t>N</t>
        </is>
      </c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4.25" customHeight="1" s="62">
      <c r="A10" s="38" t="n"/>
      <c r="B10" s="29" t="n"/>
      <c r="C10" s="38" t="n"/>
      <c r="D10" s="29" t="n"/>
      <c r="E10" s="38" t="n"/>
      <c r="F10" s="29" t="n"/>
      <c r="G10" s="38" t="n"/>
      <c r="H10" s="29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4.25" customHeight="1" s="62">
      <c r="A11" s="38" t="n"/>
      <c r="B11" s="29" t="n"/>
      <c r="C11" s="38" t="n"/>
      <c r="D11" s="29" t="n"/>
      <c r="E11" s="38" t="n"/>
      <c r="F11" s="29" t="n"/>
      <c r="G11" s="38" t="n"/>
      <c r="H11" s="29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4.25" customHeight="1" s="62">
      <c r="A12" s="38" t="n"/>
      <c r="B12" s="29" t="n"/>
      <c r="C12" s="38" t="n"/>
      <c r="D12" s="29" t="n"/>
      <c r="E12" s="38" t="n"/>
      <c r="F12" s="29" t="n"/>
      <c r="G12" s="38" t="n"/>
      <c r="H12" s="29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4.25" customHeight="1" s="62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30" customHeight="1" s="62">
      <c r="A14" s="64" t="inlineStr">
        <is>
          <t>SECTION 2 — Experiment Info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4.25" customHeight="1" s="62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4.25" customHeight="1" s="62">
      <c r="A16" s="38" t="inlineStr">
        <is>
          <t>Lab and University</t>
        </is>
      </c>
      <c r="B16" s="51" t="inlineStr">
        <is>
          <t>Zuo Lab, UCSC</t>
        </is>
      </c>
      <c r="C16" s="38" t="inlineStr">
        <is>
          <t>Testing Shavings Used (aspen, pine)</t>
        </is>
      </c>
      <c r="D16" s="51" t="inlineStr">
        <is>
          <t>Aspen</t>
        </is>
      </c>
      <c r="E16" s="38" t="inlineStr">
        <is>
          <t>Testing in Dark or Light Phase</t>
        </is>
      </c>
      <c r="F16" s="51" t="inlineStr">
        <is>
          <t>Light Phase</t>
        </is>
      </c>
      <c r="G16" s="38" t="inlineStr">
        <is>
          <t>Reinforcer Used (Bioserv/Cheerio)</t>
        </is>
      </c>
      <c r="H16" s="37" t="inlineStr">
        <is>
          <t>Bio-Serv Sugar Pellet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4.25" customHeight="1" s="62">
      <c r="A17" s="38" t="inlineStr">
        <is>
          <t>Colony Bedding</t>
        </is>
      </c>
      <c r="B17" s="29" t="n"/>
      <c r="C17" s="38" t="inlineStr">
        <is>
          <t>Testing Shavings Manufacturer</t>
        </is>
      </c>
      <c r="D17" s="51" t="inlineStr">
        <is>
          <t>Kaytee</t>
        </is>
      </c>
      <c r="E17" s="38" t="inlineStr">
        <is>
          <t>Lumens in Testing Room</t>
        </is>
      </c>
      <c r="F17" s="51" t="inlineStr">
        <is>
          <t>Unknown</t>
        </is>
      </c>
      <c r="G17" s="6" t="inlineStr">
        <is>
          <t>Experimenter</t>
        </is>
      </c>
      <c r="H17" s="51" t="inlineStr">
        <is>
          <t>Winnie Chao</t>
        </is>
      </c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4.25" customHeight="1" s="62">
      <c r="A18" s="38" t="inlineStr">
        <is>
          <t>Colony Light Cycle (e.g 12:12)</t>
        </is>
      </c>
      <c r="B18" s="51" t="inlineStr">
        <is>
          <t>6:6</t>
        </is>
      </c>
      <c r="C18" s="38" t="inlineStr">
        <is>
          <t>Testing Arena Dimensions (LxWxH)</t>
        </is>
      </c>
      <c r="D18" s="29" t="n"/>
      <c r="E18" s="38" t="inlineStr">
        <is>
          <t>Video taken of Disc, Recall&amp; Rev (Y/N)</t>
        </is>
      </c>
      <c r="F18" s="51" t="inlineStr">
        <is>
          <t>Y</t>
        </is>
      </c>
      <c r="G18" s="38" t="n"/>
      <c r="H18" s="29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4.25" customHeight="1" s="62">
      <c r="A19" s="38" t="inlineStr">
        <is>
          <t>Colony Lights On Time (AM/PMr)</t>
        </is>
      </c>
      <c r="B19" s="19" t="n">
        <v>0.25</v>
      </c>
      <c r="C19" s="38" t="inlineStr">
        <is>
          <t>Testing Ramekin Diameter</t>
        </is>
      </c>
      <c r="D19" s="51" t="inlineStr">
        <is>
          <t>3.7 inches</t>
        </is>
      </c>
      <c r="E19" s="6" t="inlineStr">
        <is>
          <t>Video Frame Rate</t>
        </is>
      </c>
      <c r="F19" s="29" t="n"/>
      <c r="G19" s="38" t="n"/>
      <c r="H19" s="29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4.25" customHeight="1" s="62">
      <c r="A20" s="38" t="inlineStr">
        <is>
          <t>Colony Chow Brand Fed</t>
        </is>
      </c>
      <c r="B20" s="29" t="n"/>
      <c r="C20" s="38" t="inlineStr">
        <is>
          <t>Testing Ramekins Sham Baited (Y/N)</t>
        </is>
      </c>
      <c r="D20" s="51" t="inlineStr">
        <is>
          <t>Y</t>
        </is>
      </c>
      <c r="E20" s="38" t="inlineStr">
        <is>
          <t>Video Resolution</t>
        </is>
      </c>
      <c r="F20" s="29" t="n"/>
      <c r="G20" s="38" t="n"/>
      <c r="H20" s="29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4.25" customHeight="1" s="62">
      <c r="A21" s="38" t="n"/>
      <c r="B21" s="29" t="n"/>
      <c r="C21" s="38" t="n"/>
      <c r="D21" s="29" t="n"/>
      <c r="E21" s="38" t="n"/>
      <c r="F21" s="29" t="n"/>
      <c r="G21" s="38" t="n"/>
      <c r="H21" s="29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62">
      <c r="A22" s="38" t="n"/>
      <c r="B22" s="29" t="n"/>
      <c r="C22" s="38" t="n"/>
      <c r="D22" s="29" t="n"/>
      <c r="E22" s="38" t="n"/>
      <c r="F22" s="29" t="n"/>
      <c r="G22" s="38" t="n"/>
      <c r="H22" s="29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4.25" customHeight="1" s="62">
      <c r="A23" s="38" t="n"/>
      <c r="B23" s="29" t="n"/>
      <c r="C23" s="38" t="n"/>
      <c r="D23" s="29" t="n"/>
      <c r="E23" s="38" t="n"/>
      <c r="F23" s="29" t="n"/>
      <c r="G23" s="38" t="n"/>
      <c r="H23" s="29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4.25" customHeight="1" s="62">
      <c r="A24" s="43" t="n"/>
      <c r="B24" s="43" t="n"/>
      <c r="C24" s="43" t="n"/>
      <c r="D24" s="43" t="n"/>
      <c r="E24" s="43" t="n"/>
      <c r="F24" s="43" t="n"/>
      <c r="G24" s="43" t="n"/>
      <c r="H24" s="43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2" customHeight="1" s="62">
      <c r="A25" s="43" t="n"/>
      <c r="B25" s="43" t="n"/>
      <c r="C25" s="43" t="n"/>
      <c r="D25" s="43" t="n"/>
      <c r="E25" s="43" t="n"/>
      <c r="F25" s="43" t="n"/>
      <c r="G25" s="43" t="n"/>
      <c r="H25" s="43" t="n"/>
      <c r="I25" s="44" t="n"/>
      <c r="J25" s="44" t="n"/>
      <c r="K25" s="44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44" t="n"/>
      <c r="V25" s="44" t="n"/>
      <c r="W25" s="44" t="n"/>
      <c r="X25" s="44" t="n"/>
      <c r="Y25" s="44" t="n"/>
      <c r="Z25" s="44" t="n"/>
    </row>
    <row r="26" ht="14.25" customHeight="1" s="62">
      <c r="A26" s="43" t="n"/>
      <c r="B26" s="43" t="n"/>
      <c r="C26" s="43" t="n"/>
      <c r="D26" s="43" t="n"/>
      <c r="E26" s="43" t="n"/>
      <c r="F26" s="43" t="n"/>
      <c r="G26" s="43" t="n"/>
      <c r="H26" s="43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4.25" customHeight="1" s="62">
      <c r="A27" s="43" t="n"/>
      <c r="B27" s="43" t="n"/>
      <c r="C27" s="43" t="n"/>
      <c r="D27" s="43" t="n"/>
      <c r="E27" s="43" t="n"/>
      <c r="F27" s="43" t="n"/>
      <c r="G27" s="43" t="n"/>
      <c r="H27" s="43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4.25" customHeight="1" s="62">
      <c r="A28" s="43" t="n"/>
      <c r="B28" s="43" t="n"/>
      <c r="C28" s="43" t="n"/>
      <c r="D28" s="43" t="n"/>
      <c r="E28" s="43" t="n"/>
      <c r="F28" s="43" t="n"/>
      <c r="G28" s="43" t="n"/>
      <c r="H28" s="43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4.25" customHeight="1" s="62">
      <c r="A29" s="43" t="n"/>
      <c r="B29" s="43" t="n"/>
      <c r="C29" s="43" t="n"/>
      <c r="D29" s="43" t="n"/>
      <c r="E29" s="43" t="n"/>
      <c r="F29" s="43" t="n"/>
      <c r="G29" s="43" t="n"/>
      <c r="H29" s="43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4.25" customHeight="1" s="62">
      <c r="A30" s="43" t="n"/>
      <c r="B30" s="43" t="n"/>
      <c r="C30" s="43" t="n"/>
      <c r="D30" s="43" t="n"/>
      <c r="E30" s="43" t="n"/>
      <c r="F30" s="43" t="n"/>
      <c r="G30" s="43" t="n"/>
      <c r="H30" s="43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4.25" customHeight="1" s="62">
      <c r="A31" s="43" t="n"/>
      <c r="B31" s="43" t="n"/>
      <c r="C31" s="43" t="n"/>
      <c r="D31" s="43" t="n"/>
      <c r="E31" s="43" t="n"/>
      <c r="F31" s="43" t="n"/>
      <c r="G31" s="43" t="n"/>
      <c r="H31" s="43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43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43" t="n"/>
      <c r="S32" s="43" t="n"/>
      <c r="T32" s="43" t="n"/>
      <c r="U32" s="43" t="n"/>
      <c r="V32" s="43" t="n"/>
      <c r="W32" s="43" t="n"/>
      <c r="X32" s="43" t="n"/>
      <c r="Y32" s="43" t="n"/>
      <c r="Z32" s="43" t="n"/>
    </row>
    <row r="33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43" t="n"/>
      <c r="U33" s="43" t="n"/>
      <c r="V33" s="43" t="n"/>
      <c r="W33" s="43" t="n"/>
      <c r="X33" s="43" t="n"/>
      <c r="Y33" s="43" t="n"/>
      <c r="Z33" s="43" t="n"/>
    </row>
    <row r="34">
      <c r="A34" s="43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43" t="n"/>
      <c r="U34" s="43" t="n"/>
      <c r="V34" s="43" t="n"/>
      <c r="W34" s="43" t="n"/>
      <c r="X34" s="43" t="n"/>
      <c r="Y34" s="43" t="n"/>
      <c r="Z34" s="43" t="n"/>
    </row>
    <row r="35">
      <c r="A35" s="43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</row>
    <row r="36">
      <c r="A36" s="43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43" t="n"/>
      <c r="S36" s="43" t="n"/>
      <c r="T36" s="43" t="n"/>
      <c r="U36" s="43" t="n"/>
      <c r="V36" s="43" t="n"/>
      <c r="W36" s="43" t="n"/>
      <c r="X36" s="43" t="n"/>
      <c r="Y36" s="43" t="n"/>
      <c r="Z36" s="43" t="n"/>
    </row>
    <row r="37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43" t="n"/>
      <c r="U37" s="43" t="n"/>
      <c r="V37" s="43" t="n"/>
      <c r="W37" s="43" t="n"/>
      <c r="X37" s="43" t="n"/>
      <c r="Y37" s="43" t="n"/>
      <c r="Z37" s="43" t="n"/>
    </row>
    <row r="38">
      <c r="A38" s="43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43" t="n"/>
      <c r="U38" s="43" t="n"/>
      <c r="V38" s="43" t="n"/>
      <c r="W38" s="43" t="n"/>
      <c r="X38" s="43" t="n"/>
      <c r="Y38" s="43" t="n"/>
      <c r="Z38" s="43" t="n"/>
    </row>
    <row r="39">
      <c r="A39" s="43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</row>
    <row r="40">
      <c r="A40" s="43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43" t="n"/>
      <c r="U40" s="43" t="n"/>
      <c r="V40" s="43" t="n"/>
      <c r="W40" s="43" t="n"/>
      <c r="X40" s="43" t="n"/>
      <c r="Y40" s="43" t="n"/>
      <c r="Z40" s="43" t="n"/>
    </row>
    <row r="41">
      <c r="A41" s="43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43" t="n"/>
      <c r="U41" s="43" t="n"/>
      <c r="V41" s="43" t="n"/>
      <c r="W41" s="43" t="n"/>
      <c r="X41" s="43" t="n"/>
      <c r="Y41" s="43" t="n"/>
      <c r="Z41" s="43" t="n"/>
    </row>
    <row r="42">
      <c r="A42" s="43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43" t="n"/>
      <c r="U42" s="43" t="n"/>
      <c r="V42" s="43" t="n"/>
      <c r="W42" s="43" t="n"/>
      <c r="X42" s="43" t="n"/>
      <c r="Y42" s="43" t="n"/>
      <c r="Z42" s="43" t="n"/>
    </row>
    <row r="43">
      <c r="A43" s="43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43" t="n"/>
      <c r="U43" s="43" t="n"/>
      <c r="V43" s="43" t="n"/>
      <c r="W43" s="43" t="n"/>
      <c r="X43" s="43" t="n"/>
      <c r="Y43" s="43" t="n"/>
      <c r="Z43" s="43" t="n"/>
    </row>
    <row r="44">
      <c r="A44" s="43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</row>
    <row r="45">
      <c r="A45" s="43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43" t="n"/>
      <c r="U45" s="43" t="n"/>
      <c r="V45" s="43" t="n"/>
      <c r="W45" s="43" t="n"/>
      <c r="X45" s="43" t="n"/>
      <c r="Y45" s="43" t="n"/>
      <c r="Z45" s="43" t="n"/>
    </row>
    <row r="46">
      <c r="A46" s="43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43" t="n"/>
      <c r="U46" s="43" t="n"/>
      <c r="V46" s="43" t="n"/>
      <c r="W46" s="43" t="n"/>
      <c r="X46" s="43" t="n"/>
      <c r="Y46" s="43" t="n"/>
      <c r="Z46" s="43" t="n"/>
    </row>
    <row r="47">
      <c r="A47" s="43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</row>
    <row r="48">
      <c r="A48" s="43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43" t="n"/>
      <c r="U48" s="43" t="n"/>
      <c r="V48" s="43" t="n"/>
      <c r="W48" s="43" t="n"/>
      <c r="X48" s="43" t="n"/>
      <c r="Y48" s="43" t="n"/>
      <c r="Z48" s="43" t="n"/>
    </row>
    <row r="49">
      <c r="A49" s="43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</row>
    <row r="50">
      <c r="A50" s="43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43" t="n"/>
      <c r="U50" s="43" t="n"/>
      <c r="V50" s="43" t="n"/>
      <c r="W50" s="43" t="n"/>
      <c r="X50" s="43" t="n"/>
      <c r="Y50" s="43" t="n"/>
      <c r="Z50" s="43" t="n"/>
    </row>
    <row r="51">
      <c r="A51" s="43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43" t="n"/>
      <c r="U51" s="43" t="n"/>
      <c r="V51" s="43" t="n"/>
      <c r="W51" s="43" t="n"/>
      <c r="X51" s="43" t="n"/>
      <c r="Y51" s="43" t="n"/>
      <c r="Z51" s="43" t="n"/>
    </row>
    <row r="52">
      <c r="A52" s="43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</row>
    <row r="53">
      <c r="A53" s="43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43" t="n"/>
      <c r="S53" s="43" t="n"/>
      <c r="T53" s="43" t="n"/>
      <c r="U53" s="43" t="n"/>
      <c r="V53" s="43" t="n"/>
      <c r="W53" s="43" t="n"/>
      <c r="X53" s="43" t="n"/>
      <c r="Y53" s="43" t="n"/>
      <c r="Z53" s="43" t="n"/>
    </row>
    <row r="54">
      <c r="A54" s="43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43" t="n"/>
      <c r="S54" s="43" t="n"/>
      <c r="T54" s="43" t="n"/>
      <c r="U54" s="43" t="n"/>
      <c r="V54" s="43" t="n"/>
      <c r="W54" s="43" t="n"/>
      <c r="X54" s="43" t="n"/>
      <c r="Y54" s="43" t="n"/>
      <c r="Z54" s="43" t="n"/>
    </row>
    <row r="55">
      <c r="A55" s="43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43" t="n"/>
      <c r="S55" s="43" t="n"/>
      <c r="T55" s="43" t="n"/>
      <c r="U55" s="43" t="n"/>
      <c r="V55" s="43" t="n"/>
      <c r="W55" s="43" t="n"/>
      <c r="X55" s="43" t="n"/>
      <c r="Y55" s="43" t="n"/>
      <c r="Z55" s="43" t="n"/>
    </row>
    <row r="56">
      <c r="A56" s="43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43" t="n"/>
      <c r="S56" s="43" t="n"/>
      <c r="T56" s="43" t="n"/>
      <c r="U56" s="43" t="n"/>
      <c r="V56" s="43" t="n"/>
      <c r="W56" s="43" t="n"/>
      <c r="X56" s="43" t="n"/>
      <c r="Y56" s="43" t="n"/>
      <c r="Z56" s="43" t="n"/>
    </row>
    <row r="57">
      <c r="A57" s="43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43" t="n"/>
      <c r="S57" s="43" t="n"/>
      <c r="T57" s="43" t="n"/>
      <c r="U57" s="43" t="n"/>
      <c r="V57" s="43" t="n"/>
      <c r="W57" s="43" t="n"/>
      <c r="X57" s="43" t="n"/>
      <c r="Y57" s="43" t="n"/>
      <c r="Z57" s="43" t="n"/>
    </row>
    <row r="58">
      <c r="A58" s="43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  <c r="S58" s="43" t="n"/>
      <c r="T58" s="43" t="n"/>
      <c r="U58" s="43" t="n"/>
      <c r="V58" s="43" t="n"/>
      <c r="W58" s="43" t="n"/>
      <c r="X58" s="43" t="n"/>
      <c r="Y58" s="43" t="n"/>
      <c r="Z58" s="43" t="n"/>
    </row>
    <row r="59">
      <c r="A59" s="43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43" t="n"/>
      <c r="S59" s="43" t="n"/>
      <c r="T59" s="43" t="n"/>
      <c r="U59" s="43" t="n"/>
      <c r="V59" s="43" t="n"/>
      <c r="W59" s="43" t="n"/>
      <c r="X59" s="43" t="n"/>
      <c r="Y59" s="43" t="n"/>
      <c r="Z59" s="43" t="n"/>
    </row>
    <row r="60">
      <c r="A60" s="43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43" t="n"/>
      <c r="S60" s="43" t="n"/>
      <c r="T60" s="43" t="n"/>
      <c r="U60" s="43" t="n"/>
      <c r="V60" s="43" t="n"/>
      <c r="W60" s="43" t="n"/>
      <c r="X60" s="43" t="n"/>
      <c r="Y60" s="43" t="n"/>
      <c r="Z60" s="43" t="n"/>
    </row>
    <row r="61">
      <c r="A61" s="43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43" t="n"/>
      <c r="S61" s="43" t="n"/>
      <c r="T61" s="43" t="n"/>
      <c r="U61" s="43" t="n"/>
      <c r="V61" s="43" t="n"/>
      <c r="W61" s="43" t="n"/>
      <c r="X61" s="43" t="n"/>
      <c r="Y61" s="43" t="n"/>
      <c r="Z61" s="43" t="n"/>
    </row>
    <row r="62">
      <c r="A62" s="43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43" t="n"/>
      <c r="S62" s="43" t="n"/>
      <c r="T62" s="43" t="n"/>
      <c r="U62" s="43" t="n"/>
      <c r="V62" s="43" t="n"/>
      <c r="W62" s="43" t="n"/>
      <c r="X62" s="43" t="n"/>
      <c r="Y62" s="43" t="n"/>
      <c r="Z62" s="43" t="n"/>
    </row>
    <row r="63">
      <c r="A63" s="43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43" t="n"/>
      <c r="S63" s="43" t="n"/>
      <c r="T63" s="43" t="n"/>
      <c r="U63" s="43" t="n"/>
      <c r="V63" s="43" t="n"/>
      <c r="W63" s="43" t="n"/>
      <c r="X63" s="43" t="n"/>
      <c r="Y63" s="43" t="n"/>
      <c r="Z63" s="43" t="n"/>
    </row>
    <row r="64">
      <c r="A64" s="43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43" t="n"/>
      <c r="S64" s="43" t="n"/>
      <c r="T64" s="43" t="n"/>
      <c r="U64" s="43" t="n"/>
      <c r="V64" s="43" t="n"/>
      <c r="W64" s="43" t="n"/>
      <c r="X64" s="43" t="n"/>
      <c r="Y64" s="43" t="n"/>
      <c r="Z64" s="43" t="n"/>
    </row>
    <row r="65">
      <c r="A65" s="43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43" t="n"/>
      <c r="S65" s="43" t="n"/>
      <c r="T65" s="43" t="n"/>
      <c r="U65" s="43" t="n"/>
      <c r="V65" s="43" t="n"/>
      <c r="W65" s="43" t="n"/>
      <c r="X65" s="43" t="n"/>
      <c r="Y65" s="43" t="n"/>
      <c r="Z65" s="43" t="n"/>
    </row>
    <row r="66">
      <c r="A66" s="43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  <c r="T66" s="43" t="n"/>
      <c r="U66" s="43" t="n"/>
      <c r="V66" s="43" t="n"/>
      <c r="W66" s="43" t="n"/>
      <c r="X66" s="43" t="n"/>
      <c r="Y66" s="43" t="n"/>
      <c r="Z66" s="43" t="n"/>
    </row>
    <row r="67">
      <c r="A67" s="43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43" t="n"/>
      <c r="S67" s="43" t="n"/>
      <c r="T67" s="43" t="n"/>
      <c r="U67" s="43" t="n"/>
      <c r="V67" s="43" t="n"/>
      <c r="W67" s="43" t="n"/>
      <c r="X67" s="43" t="n"/>
      <c r="Y67" s="43" t="n"/>
      <c r="Z67" s="43" t="n"/>
    </row>
    <row r="68">
      <c r="A68" s="43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43" t="n"/>
      <c r="S68" s="43" t="n"/>
      <c r="T68" s="43" t="n"/>
      <c r="U68" s="43" t="n"/>
      <c r="V68" s="43" t="n"/>
      <c r="W68" s="43" t="n"/>
      <c r="X68" s="43" t="n"/>
      <c r="Y68" s="43" t="n"/>
      <c r="Z68" s="43" t="n"/>
    </row>
    <row r="69">
      <c r="A69" s="43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43" t="n"/>
      <c r="S69" s="43" t="n"/>
      <c r="T69" s="43" t="n"/>
      <c r="U69" s="43" t="n"/>
      <c r="V69" s="43" t="n"/>
      <c r="W69" s="43" t="n"/>
      <c r="X69" s="43" t="n"/>
      <c r="Y69" s="43" t="n"/>
      <c r="Z69" s="43" t="n"/>
    </row>
    <row r="70">
      <c r="A70" s="43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43" t="n"/>
      <c r="S70" s="43" t="n"/>
      <c r="T70" s="43" t="n"/>
      <c r="U70" s="43" t="n"/>
      <c r="V70" s="43" t="n"/>
      <c r="W70" s="43" t="n"/>
      <c r="X70" s="43" t="n"/>
      <c r="Y70" s="43" t="n"/>
      <c r="Z70" s="43" t="n"/>
    </row>
    <row r="71">
      <c r="A71" s="43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43" t="n"/>
      <c r="S71" s="43" t="n"/>
      <c r="T71" s="43" t="n"/>
      <c r="U71" s="43" t="n"/>
      <c r="V71" s="43" t="n"/>
      <c r="W71" s="43" t="n"/>
      <c r="X71" s="43" t="n"/>
      <c r="Y71" s="43" t="n"/>
      <c r="Z71" s="43" t="n"/>
    </row>
    <row r="72">
      <c r="A72" s="43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  <c r="S72" s="43" t="n"/>
      <c r="T72" s="43" t="n"/>
      <c r="U72" s="43" t="n"/>
      <c r="V72" s="43" t="n"/>
      <c r="W72" s="43" t="n"/>
      <c r="X72" s="43" t="n"/>
      <c r="Y72" s="43" t="n"/>
      <c r="Z72" s="43" t="n"/>
    </row>
    <row r="73">
      <c r="A73" s="43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43" t="n"/>
      <c r="S73" s="43" t="n"/>
      <c r="T73" s="43" t="n"/>
      <c r="U73" s="43" t="n"/>
      <c r="V73" s="43" t="n"/>
      <c r="W73" s="43" t="n"/>
      <c r="X73" s="43" t="n"/>
      <c r="Y73" s="43" t="n"/>
      <c r="Z73" s="43" t="n"/>
    </row>
    <row r="74">
      <c r="A74" s="43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43" t="n"/>
      <c r="S74" s="43" t="n"/>
      <c r="T74" s="43" t="n"/>
      <c r="U74" s="43" t="n"/>
      <c r="V74" s="43" t="n"/>
      <c r="W74" s="43" t="n"/>
      <c r="X74" s="43" t="n"/>
      <c r="Y74" s="43" t="n"/>
      <c r="Z74" s="43" t="n"/>
    </row>
    <row r="75">
      <c r="A75" s="43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43" t="n"/>
      <c r="S75" s="43" t="n"/>
      <c r="T75" s="43" t="n"/>
      <c r="U75" s="43" t="n"/>
      <c r="V75" s="43" t="n"/>
      <c r="W75" s="43" t="n"/>
      <c r="X75" s="43" t="n"/>
      <c r="Y75" s="43" t="n"/>
      <c r="Z75" s="43" t="n"/>
    </row>
    <row r="76">
      <c r="A76" s="43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  <c r="S76" s="43" t="n"/>
      <c r="T76" s="43" t="n"/>
      <c r="U76" s="43" t="n"/>
      <c r="V76" s="43" t="n"/>
      <c r="W76" s="43" t="n"/>
      <c r="X76" s="43" t="n"/>
      <c r="Y76" s="43" t="n"/>
      <c r="Z76" s="43" t="n"/>
    </row>
    <row r="77">
      <c r="A77" s="43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43" t="n"/>
      <c r="S77" s="43" t="n"/>
      <c r="T77" s="43" t="n"/>
      <c r="U77" s="43" t="n"/>
      <c r="V77" s="43" t="n"/>
      <c r="W77" s="43" t="n"/>
      <c r="X77" s="43" t="n"/>
      <c r="Y77" s="43" t="n"/>
      <c r="Z77" s="43" t="n"/>
    </row>
    <row r="78">
      <c r="A78" s="43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  <c r="S78" s="43" t="n"/>
      <c r="T78" s="43" t="n"/>
      <c r="U78" s="43" t="n"/>
      <c r="V78" s="43" t="n"/>
      <c r="W78" s="43" t="n"/>
      <c r="X78" s="43" t="n"/>
      <c r="Y78" s="43" t="n"/>
      <c r="Z78" s="43" t="n"/>
    </row>
    <row r="79">
      <c r="A79" s="43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43" t="n"/>
      <c r="S79" s="43" t="n"/>
      <c r="T79" s="43" t="n"/>
      <c r="U79" s="43" t="n"/>
      <c r="V79" s="43" t="n"/>
      <c r="W79" s="43" t="n"/>
      <c r="X79" s="43" t="n"/>
      <c r="Y79" s="43" t="n"/>
      <c r="Z79" s="43" t="n"/>
    </row>
    <row r="80">
      <c r="A80" s="43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  <c r="S80" s="43" t="n"/>
      <c r="T80" s="43" t="n"/>
      <c r="U80" s="43" t="n"/>
      <c r="V80" s="43" t="n"/>
      <c r="W80" s="43" t="n"/>
      <c r="X80" s="43" t="n"/>
      <c r="Y80" s="43" t="n"/>
      <c r="Z80" s="43" t="n"/>
    </row>
    <row r="81">
      <c r="A81" s="43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43" t="n"/>
      <c r="S81" s="43" t="n"/>
      <c r="T81" s="43" t="n"/>
      <c r="U81" s="43" t="n"/>
      <c r="V81" s="43" t="n"/>
      <c r="W81" s="43" t="n"/>
      <c r="X81" s="43" t="n"/>
      <c r="Y81" s="43" t="n"/>
      <c r="Z81" s="43" t="n"/>
    </row>
    <row r="82">
      <c r="A82" s="43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43" t="n"/>
      <c r="S82" s="43" t="n"/>
      <c r="T82" s="43" t="n"/>
      <c r="U82" s="43" t="n"/>
      <c r="V82" s="43" t="n"/>
      <c r="W82" s="43" t="n"/>
      <c r="X82" s="43" t="n"/>
      <c r="Y82" s="43" t="n"/>
      <c r="Z82" s="43" t="n"/>
    </row>
    <row r="83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43" t="n"/>
      <c r="S83" s="43" t="n"/>
      <c r="T83" s="43" t="n"/>
      <c r="U83" s="43" t="n"/>
      <c r="V83" s="43" t="n"/>
      <c r="W83" s="43" t="n"/>
      <c r="X83" s="43" t="n"/>
      <c r="Y83" s="43" t="n"/>
      <c r="Z83" s="43" t="n"/>
    </row>
    <row r="84">
      <c r="A84" s="43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43" t="n"/>
      <c r="S84" s="43" t="n"/>
      <c r="T84" s="43" t="n"/>
      <c r="U84" s="43" t="n"/>
      <c r="V84" s="43" t="n"/>
      <c r="W84" s="43" t="n"/>
      <c r="X84" s="43" t="n"/>
      <c r="Y84" s="43" t="n"/>
      <c r="Z84" s="43" t="n"/>
    </row>
    <row r="85">
      <c r="A85" s="43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43" t="n"/>
      <c r="S85" s="43" t="n"/>
      <c r="T85" s="43" t="n"/>
      <c r="U85" s="43" t="n"/>
      <c r="V85" s="43" t="n"/>
      <c r="W85" s="43" t="n"/>
      <c r="X85" s="43" t="n"/>
      <c r="Y85" s="43" t="n"/>
      <c r="Z85" s="43" t="n"/>
    </row>
    <row r="86">
      <c r="A86" s="43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43" t="n"/>
      <c r="S86" s="43" t="n"/>
      <c r="T86" s="43" t="n"/>
      <c r="U86" s="43" t="n"/>
      <c r="V86" s="43" t="n"/>
      <c r="W86" s="43" t="n"/>
      <c r="X86" s="43" t="n"/>
      <c r="Y86" s="43" t="n"/>
      <c r="Z86" s="43" t="n"/>
    </row>
    <row r="87">
      <c r="A87" s="43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  <c r="S87" s="43" t="n"/>
      <c r="T87" s="43" t="n"/>
      <c r="U87" s="43" t="n"/>
      <c r="V87" s="43" t="n"/>
      <c r="W87" s="43" t="n"/>
      <c r="X87" s="43" t="n"/>
      <c r="Y87" s="43" t="n"/>
      <c r="Z87" s="43" t="n"/>
    </row>
    <row r="88">
      <c r="A88" s="43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43" t="n"/>
      <c r="S88" s="43" t="n"/>
      <c r="T88" s="43" t="n"/>
      <c r="U88" s="43" t="n"/>
      <c r="V88" s="43" t="n"/>
      <c r="W88" s="43" t="n"/>
      <c r="X88" s="43" t="n"/>
      <c r="Y88" s="43" t="n"/>
      <c r="Z88" s="43" t="n"/>
    </row>
    <row r="89">
      <c r="A89" s="43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43" t="n"/>
      <c r="S89" s="43" t="n"/>
      <c r="T89" s="43" t="n"/>
      <c r="U89" s="43" t="n"/>
      <c r="V89" s="43" t="n"/>
      <c r="W89" s="43" t="n"/>
      <c r="X89" s="43" t="n"/>
      <c r="Y89" s="43" t="n"/>
      <c r="Z89" s="43" t="n"/>
    </row>
    <row r="90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43" t="n"/>
      <c r="S90" s="43" t="n"/>
      <c r="T90" s="43" t="n"/>
      <c r="U90" s="43" t="n"/>
      <c r="V90" s="43" t="n"/>
      <c r="W90" s="43" t="n"/>
      <c r="X90" s="43" t="n"/>
      <c r="Y90" s="43" t="n"/>
      <c r="Z90" s="43" t="n"/>
    </row>
    <row r="91">
      <c r="A91" s="43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43" t="n"/>
      <c r="S91" s="43" t="n"/>
      <c r="T91" s="43" t="n"/>
      <c r="U91" s="43" t="n"/>
      <c r="V91" s="43" t="n"/>
      <c r="W91" s="43" t="n"/>
      <c r="X91" s="43" t="n"/>
      <c r="Y91" s="43" t="n"/>
      <c r="Z91" s="43" t="n"/>
    </row>
    <row r="92">
      <c r="A92" s="43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43" t="n"/>
      <c r="S92" s="43" t="n"/>
      <c r="T92" s="43" t="n"/>
      <c r="U92" s="43" t="n"/>
      <c r="V92" s="43" t="n"/>
      <c r="W92" s="43" t="n"/>
      <c r="X92" s="43" t="n"/>
      <c r="Y92" s="43" t="n"/>
      <c r="Z92" s="43" t="n"/>
    </row>
    <row r="93">
      <c r="A93" s="43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43" t="n"/>
      <c r="S93" s="43" t="n"/>
      <c r="T93" s="43" t="n"/>
      <c r="U93" s="43" t="n"/>
      <c r="V93" s="43" t="n"/>
      <c r="W93" s="43" t="n"/>
      <c r="X93" s="43" t="n"/>
      <c r="Y93" s="43" t="n"/>
      <c r="Z93" s="43" t="n"/>
    </row>
    <row r="94">
      <c r="A94" s="43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43" t="n"/>
      <c r="S94" s="43" t="n"/>
      <c r="T94" s="43" t="n"/>
      <c r="U94" s="43" t="n"/>
      <c r="V94" s="43" t="n"/>
      <c r="W94" s="43" t="n"/>
      <c r="X94" s="43" t="n"/>
      <c r="Y94" s="43" t="n"/>
      <c r="Z94" s="43" t="n"/>
    </row>
    <row r="95">
      <c r="A95" s="43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  <c r="S95" s="43" t="n"/>
      <c r="T95" s="43" t="n"/>
      <c r="U95" s="43" t="n"/>
      <c r="V95" s="43" t="n"/>
      <c r="W95" s="43" t="n"/>
      <c r="X95" s="43" t="n"/>
      <c r="Y95" s="43" t="n"/>
      <c r="Z95" s="43" t="n"/>
    </row>
    <row r="96">
      <c r="A96" s="43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43" t="n"/>
      <c r="S96" s="43" t="n"/>
      <c r="T96" s="43" t="n"/>
      <c r="U96" s="43" t="n"/>
      <c r="V96" s="43" t="n"/>
      <c r="W96" s="43" t="n"/>
      <c r="X96" s="43" t="n"/>
      <c r="Y96" s="43" t="n"/>
      <c r="Z96" s="43" t="n"/>
    </row>
    <row r="97">
      <c r="A97" s="43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43" t="n"/>
      <c r="S97" s="43" t="n"/>
      <c r="T97" s="43" t="n"/>
      <c r="U97" s="43" t="n"/>
      <c r="V97" s="43" t="n"/>
      <c r="W97" s="43" t="n"/>
      <c r="X97" s="43" t="n"/>
      <c r="Y97" s="43" t="n"/>
      <c r="Z97" s="43" t="n"/>
    </row>
    <row r="98">
      <c r="A98" s="43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43" t="n"/>
      <c r="S98" s="43" t="n"/>
      <c r="T98" s="43" t="n"/>
      <c r="U98" s="43" t="n"/>
      <c r="V98" s="43" t="n"/>
      <c r="W98" s="43" t="n"/>
      <c r="X98" s="43" t="n"/>
      <c r="Y98" s="43" t="n"/>
      <c r="Z98" s="43" t="n"/>
    </row>
    <row r="99">
      <c r="A99" s="43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43" t="n"/>
      <c r="S99" s="43" t="n"/>
      <c r="T99" s="43" t="n"/>
      <c r="U99" s="43" t="n"/>
      <c r="V99" s="43" t="n"/>
      <c r="W99" s="43" t="n"/>
      <c r="X99" s="43" t="n"/>
      <c r="Y99" s="43" t="n"/>
      <c r="Z99" s="43" t="n"/>
    </row>
    <row r="100">
      <c r="A100" s="43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43" t="n"/>
      <c r="S100" s="43" t="n"/>
      <c r="T100" s="43" t="n"/>
      <c r="U100" s="43" t="n"/>
      <c r="V100" s="43" t="n"/>
      <c r="W100" s="43" t="n"/>
      <c r="X100" s="43" t="n"/>
      <c r="Y100" s="43" t="n"/>
      <c r="Z100" s="43" t="n"/>
    </row>
    <row r="101">
      <c r="A101" s="43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  <c r="S101" s="43" t="n"/>
      <c r="T101" s="43" t="n"/>
      <c r="U101" s="43" t="n"/>
      <c r="V101" s="43" t="n"/>
      <c r="W101" s="43" t="n"/>
      <c r="X101" s="43" t="n"/>
      <c r="Y101" s="43" t="n"/>
      <c r="Z101" s="43" t="n"/>
    </row>
    <row r="102">
      <c r="A102" s="43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43" t="n"/>
      <c r="S102" s="43" t="n"/>
      <c r="T102" s="43" t="n"/>
      <c r="U102" s="43" t="n"/>
      <c r="V102" s="43" t="n"/>
      <c r="W102" s="43" t="n"/>
      <c r="X102" s="43" t="n"/>
      <c r="Y102" s="43" t="n"/>
      <c r="Z102" s="43" t="n"/>
    </row>
    <row r="103">
      <c r="A103" s="43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43" t="n"/>
      <c r="S103" s="43" t="n"/>
      <c r="T103" s="43" t="n"/>
      <c r="U103" s="43" t="n"/>
      <c r="V103" s="43" t="n"/>
      <c r="W103" s="43" t="n"/>
      <c r="X103" s="43" t="n"/>
      <c r="Y103" s="43" t="n"/>
      <c r="Z103" s="43" t="n"/>
    </row>
    <row r="104">
      <c r="A104" s="43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43" t="n"/>
      <c r="S104" s="43" t="n"/>
      <c r="T104" s="43" t="n"/>
      <c r="U104" s="43" t="n"/>
      <c r="V104" s="43" t="n"/>
      <c r="W104" s="43" t="n"/>
      <c r="X104" s="43" t="n"/>
      <c r="Y104" s="43" t="n"/>
      <c r="Z104" s="43" t="n"/>
    </row>
    <row r="105">
      <c r="A105" s="43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43" t="n"/>
      <c r="S105" s="43" t="n"/>
      <c r="T105" s="43" t="n"/>
      <c r="U105" s="43" t="n"/>
      <c r="V105" s="43" t="n"/>
      <c r="W105" s="43" t="n"/>
      <c r="X105" s="43" t="n"/>
      <c r="Y105" s="43" t="n"/>
      <c r="Z105" s="43" t="n"/>
    </row>
    <row r="106">
      <c r="A106" s="43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43" t="n"/>
      <c r="S106" s="43" t="n"/>
      <c r="T106" s="43" t="n"/>
      <c r="U106" s="43" t="n"/>
      <c r="V106" s="43" t="n"/>
      <c r="W106" s="43" t="n"/>
      <c r="X106" s="43" t="n"/>
      <c r="Y106" s="43" t="n"/>
      <c r="Z106" s="43" t="n"/>
    </row>
    <row r="107">
      <c r="A107" s="43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  <c r="S107" s="43" t="n"/>
      <c r="T107" s="43" t="n"/>
      <c r="U107" s="43" t="n"/>
      <c r="V107" s="43" t="n"/>
      <c r="W107" s="43" t="n"/>
      <c r="X107" s="43" t="n"/>
      <c r="Y107" s="43" t="n"/>
      <c r="Z107" s="43" t="n"/>
    </row>
    <row r="108">
      <c r="A108" s="43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43" t="n"/>
      <c r="S108" s="43" t="n"/>
      <c r="T108" s="43" t="n"/>
      <c r="U108" s="43" t="n"/>
      <c r="V108" s="43" t="n"/>
      <c r="W108" s="43" t="n"/>
      <c r="X108" s="43" t="n"/>
      <c r="Y108" s="43" t="n"/>
      <c r="Z108" s="43" t="n"/>
    </row>
    <row r="109">
      <c r="A109" s="43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43" t="n"/>
      <c r="S109" s="43" t="n"/>
      <c r="T109" s="43" t="n"/>
      <c r="U109" s="43" t="n"/>
      <c r="V109" s="43" t="n"/>
      <c r="W109" s="43" t="n"/>
      <c r="X109" s="43" t="n"/>
      <c r="Y109" s="43" t="n"/>
      <c r="Z109" s="43" t="n"/>
    </row>
    <row r="110">
      <c r="A110" s="43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  <c r="S110" s="43" t="n"/>
      <c r="T110" s="43" t="n"/>
      <c r="U110" s="43" t="n"/>
      <c r="V110" s="43" t="n"/>
      <c r="W110" s="43" t="n"/>
      <c r="X110" s="43" t="n"/>
      <c r="Y110" s="43" t="n"/>
      <c r="Z110" s="43" t="n"/>
    </row>
    <row r="111">
      <c r="A111" s="43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  <c r="S111" s="43" t="n"/>
      <c r="T111" s="43" t="n"/>
      <c r="U111" s="43" t="n"/>
      <c r="V111" s="43" t="n"/>
      <c r="W111" s="43" t="n"/>
      <c r="X111" s="43" t="n"/>
      <c r="Y111" s="43" t="n"/>
      <c r="Z111" s="43" t="n"/>
    </row>
    <row r="112">
      <c r="A112" s="43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43" t="n"/>
      <c r="S112" s="43" t="n"/>
      <c r="T112" s="43" t="n"/>
      <c r="U112" s="43" t="n"/>
      <c r="V112" s="43" t="n"/>
      <c r="W112" s="43" t="n"/>
      <c r="X112" s="43" t="n"/>
      <c r="Y112" s="43" t="n"/>
      <c r="Z112" s="43" t="n"/>
    </row>
    <row r="113">
      <c r="A113" s="43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  <c r="S113" s="43" t="n"/>
      <c r="T113" s="43" t="n"/>
      <c r="U113" s="43" t="n"/>
      <c r="V113" s="43" t="n"/>
      <c r="W113" s="43" t="n"/>
      <c r="X113" s="43" t="n"/>
      <c r="Y113" s="43" t="n"/>
      <c r="Z113" s="43" t="n"/>
    </row>
    <row r="114">
      <c r="A114" s="43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43" t="n"/>
      <c r="S114" s="43" t="n"/>
      <c r="T114" s="43" t="n"/>
      <c r="U114" s="43" t="n"/>
      <c r="V114" s="43" t="n"/>
      <c r="W114" s="43" t="n"/>
      <c r="X114" s="43" t="n"/>
      <c r="Y114" s="43" t="n"/>
      <c r="Z114" s="43" t="n"/>
    </row>
    <row r="115">
      <c r="A115" s="43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  <c r="S115" s="43" t="n"/>
      <c r="T115" s="43" t="n"/>
      <c r="U115" s="43" t="n"/>
      <c r="V115" s="43" t="n"/>
      <c r="W115" s="43" t="n"/>
      <c r="X115" s="43" t="n"/>
      <c r="Y115" s="43" t="n"/>
      <c r="Z115" s="43" t="n"/>
    </row>
    <row r="116">
      <c r="A116" s="43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43" t="n"/>
      <c r="S116" s="43" t="n"/>
      <c r="T116" s="43" t="n"/>
      <c r="U116" s="43" t="n"/>
      <c r="V116" s="43" t="n"/>
      <c r="W116" s="43" t="n"/>
      <c r="X116" s="43" t="n"/>
      <c r="Y116" s="43" t="n"/>
      <c r="Z116" s="43" t="n"/>
    </row>
    <row r="117">
      <c r="A117" s="43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43" t="n"/>
      <c r="S117" s="43" t="n"/>
      <c r="T117" s="43" t="n"/>
      <c r="U117" s="43" t="n"/>
      <c r="V117" s="43" t="n"/>
      <c r="W117" s="43" t="n"/>
      <c r="X117" s="43" t="n"/>
      <c r="Y117" s="43" t="n"/>
      <c r="Z117" s="43" t="n"/>
    </row>
    <row r="118">
      <c r="A118" s="43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43" t="n"/>
      <c r="S118" s="43" t="n"/>
      <c r="T118" s="43" t="n"/>
      <c r="U118" s="43" t="n"/>
      <c r="V118" s="43" t="n"/>
      <c r="W118" s="43" t="n"/>
      <c r="X118" s="43" t="n"/>
      <c r="Y118" s="43" t="n"/>
      <c r="Z118" s="43" t="n"/>
    </row>
    <row r="119">
      <c r="A119" s="43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43" t="n"/>
      <c r="S119" s="43" t="n"/>
      <c r="T119" s="43" t="n"/>
      <c r="U119" s="43" t="n"/>
      <c r="V119" s="43" t="n"/>
      <c r="W119" s="43" t="n"/>
      <c r="X119" s="43" t="n"/>
      <c r="Y119" s="43" t="n"/>
      <c r="Z119" s="43" t="n"/>
    </row>
    <row r="120">
      <c r="A120" s="43" t="n"/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  <c r="R120" s="43" t="n"/>
      <c r="S120" s="43" t="n"/>
      <c r="T120" s="43" t="n"/>
      <c r="U120" s="43" t="n"/>
      <c r="V120" s="43" t="n"/>
      <c r="W120" s="43" t="n"/>
      <c r="X120" s="43" t="n"/>
      <c r="Y120" s="43" t="n"/>
      <c r="Z120" s="43" t="n"/>
    </row>
    <row r="121">
      <c r="A121" s="43" t="n"/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  <c r="R121" s="43" t="n"/>
      <c r="S121" s="43" t="n"/>
      <c r="T121" s="43" t="n"/>
      <c r="U121" s="43" t="n"/>
      <c r="V121" s="43" t="n"/>
      <c r="W121" s="43" t="n"/>
      <c r="X121" s="43" t="n"/>
      <c r="Y121" s="43" t="n"/>
      <c r="Z121" s="43" t="n"/>
    </row>
    <row r="122">
      <c r="A122" s="43" t="n"/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  <c r="R122" s="43" t="n"/>
      <c r="S122" s="43" t="n"/>
      <c r="T122" s="43" t="n"/>
      <c r="U122" s="43" t="n"/>
      <c r="V122" s="43" t="n"/>
      <c r="W122" s="43" t="n"/>
      <c r="X122" s="43" t="n"/>
      <c r="Y122" s="43" t="n"/>
      <c r="Z122" s="43" t="n"/>
    </row>
    <row r="123">
      <c r="A123" s="43" t="n"/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  <c r="S123" s="43" t="n"/>
      <c r="T123" s="43" t="n"/>
      <c r="U123" s="43" t="n"/>
      <c r="V123" s="43" t="n"/>
      <c r="W123" s="43" t="n"/>
      <c r="X123" s="43" t="n"/>
      <c r="Y123" s="43" t="n"/>
      <c r="Z123" s="43" t="n"/>
    </row>
    <row r="124">
      <c r="A124" s="43" t="n"/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  <c r="R124" s="43" t="n"/>
      <c r="S124" s="43" t="n"/>
      <c r="T124" s="43" t="n"/>
      <c r="U124" s="43" t="n"/>
      <c r="V124" s="43" t="n"/>
      <c r="W124" s="43" t="n"/>
      <c r="X124" s="43" t="n"/>
      <c r="Y124" s="43" t="n"/>
      <c r="Z124" s="43" t="n"/>
    </row>
    <row r="125">
      <c r="A125" s="43" t="n"/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  <c r="R125" s="43" t="n"/>
      <c r="S125" s="43" t="n"/>
      <c r="T125" s="43" t="n"/>
      <c r="U125" s="43" t="n"/>
      <c r="V125" s="43" t="n"/>
      <c r="W125" s="43" t="n"/>
      <c r="X125" s="43" t="n"/>
      <c r="Y125" s="43" t="n"/>
      <c r="Z125" s="43" t="n"/>
    </row>
    <row r="126">
      <c r="A126" s="43" t="n"/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  <c r="R126" s="43" t="n"/>
      <c r="S126" s="43" t="n"/>
      <c r="T126" s="43" t="n"/>
      <c r="U126" s="43" t="n"/>
      <c r="V126" s="43" t="n"/>
      <c r="W126" s="43" t="n"/>
      <c r="X126" s="43" t="n"/>
      <c r="Y126" s="43" t="n"/>
      <c r="Z126" s="43" t="n"/>
    </row>
    <row r="127">
      <c r="A127" s="43" t="n"/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  <c r="R127" s="43" t="n"/>
      <c r="S127" s="43" t="n"/>
      <c r="T127" s="43" t="n"/>
      <c r="U127" s="43" t="n"/>
      <c r="V127" s="43" t="n"/>
      <c r="W127" s="43" t="n"/>
      <c r="X127" s="43" t="n"/>
      <c r="Y127" s="43" t="n"/>
      <c r="Z127" s="43" t="n"/>
    </row>
    <row r="128">
      <c r="A128" s="43" t="n"/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  <c r="R128" s="43" t="n"/>
      <c r="S128" s="43" t="n"/>
      <c r="T128" s="43" t="n"/>
      <c r="U128" s="43" t="n"/>
      <c r="V128" s="43" t="n"/>
      <c r="W128" s="43" t="n"/>
      <c r="X128" s="43" t="n"/>
      <c r="Y128" s="43" t="n"/>
      <c r="Z128" s="43" t="n"/>
    </row>
    <row r="129">
      <c r="A129" s="43" t="n"/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  <c r="R129" s="43" t="n"/>
      <c r="S129" s="43" t="n"/>
      <c r="T129" s="43" t="n"/>
      <c r="U129" s="43" t="n"/>
      <c r="V129" s="43" t="n"/>
      <c r="W129" s="43" t="n"/>
      <c r="X129" s="43" t="n"/>
      <c r="Y129" s="43" t="n"/>
      <c r="Z129" s="43" t="n"/>
    </row>
    <row r="130">
      <c r="A130" s="43" t="n"/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  <c r="R130" s="43" t="n"/>
      <c r="S130" s="43" t="n"/>
      <c r="T130" s="43" t="n"/>
      <c r="U130" s="43" t="n"/>
      <c r="V130" s="43" t="n"/>
      <c r="W130" s="43" t="n"/>
      <c r="X130" s="43" t="n"/>
      <c r="Y130" s="43" t="n"/>
      <c r="Z130" s="43" t="n"/>
    </row>
    <row r="131">
      <c r="A131" s="43" t="n"/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  <c r="S131" s="43" t="n"/>
      <c r="T131" s="43" t="n"/>
      <c r="U131" s="43" t="n"/>
      <c r="V131" s="43" t="n"/>
      <c r="W131" s="43" t="n"/>
      <c r="X131" s="43" t="n"/>
      <c r="Y131" s="43" t="n"/>
      <c r="Z131" s="43" t="n"/>
    </row>
    <row r="132">
      <c r="A132" s="43" t="n"/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  <c r="R132" s="43" t="n"/>
      <c r="S132" s="43" t="n"/>
      <c r="T132" s="43" t="n"/>
      <c r="U132" s="43" t="n"/>
      <c r="V132" s="43" t="n"/>
      <c r="W132" s="43" t="n"/>
      <c r="X132" s="43" t="n"/>
      <c r="Y132" s="43" t="n"/>
      <c r="Z132" s="43" t="n"/>
    </row>
    <row r="133">
      <c r="A133" s="43" t="n"/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  <c r="R133" s="43" t="n"/>
      <c r="S133" s="43" t="n"/>
      <c r="T133" s="43" t="n"/>
      <c r="U133" s="43" t="n"/>
      <c r="V133" s="43" t="n"/>
      <c r="W133" s="43" t="n"/>
      <c r="X133" s="43" t="n"/>
      <c r="Y133" s="43" t="n"/>
      <c r="Z133" s="43" t="n"/>
    </row>
    <row r="134">
      <c r="A134" s="43" t="n"/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  <c r="R134" s="43" t="n"/>
      <c r="S134" s="43" t="n"/>
      <c r="T134" s="43" t="n"/>
      <c r="U134" s="43" t="n"/>
      <c r="V134" s="43" t="n"/>
      <c r="W134" s="43" t="n"/>
      <c r="X134" s="43" t="n"/>
      <c r="Y134" s="43" t="n"/>
      <c r="Z134" s="43" t="n"/>
    </row>
    <row r="135">
      <c r="A135" s="43" t="n"/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  <c r="S135" s="43" t="n"/>
      <c r="T135" s="43" t="n"/>
      <c r="U135" s="43" t="n"/>
      <c r="V135" s="43" t="n"/>
      <c r="W135" s="43" t="n"/>
      <c r="X135" s="43" t="n"/>
      <c r="Y135" s="43" t="n"/>
      <c r="Z135" s="43" t="n"/>
    </row>
    <row r="136">
      <c r="A136" s="43" t="n"/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  <c r="R136" s="43" t="n"/>
      <c r="S136" s="43" t="n"/>
      <c r="T136" s="43" t="n"/>
      <c r="U136" s="43" t="n"/>
      <c r="V136" s="43" t="n"/>
      <c r="W136" s="43" t="n"/>
      <c r="X136" s="43" t="n"/>
      <c r="Y136" s="43" t="n"/>
      <c r="Z136" s="43" t="n"/>
    </row>
    <row r="137">
      <c r="A137" s="43" t="n"/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  <c r="S137" s="43" t="n"/>
      <c r="T137" s="43" t="n"/>
      <c r="U137" s="43" t="n"/>
      <c r="V137" s="43" t="n"/>
      <c r="W137" s="43" t="n"/>
      <c r="X137" s="43" t="n"/>
      <c r="Y137" s="43" t="n"/>
      <c r="Z137" s="43" t="n"/>
    </row>
    <row r="138">
      <c r="A138" s="43" t="n"/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  <c r="R138" s="43" t="n"/>
      <c r="S138" s="43" t="n"/>
      <c r="T138" s="43" t="n"/>
      <c r="U138" s="43" t="n"/>
      <c r="V138" s="43" t="n"/>
      <c r="W138" s="43" t="n"/>
      <c r="X138" s="43" t="n"/>
      <c r="Y138" s="43" t="n"/>
      <c r="Z138" s="43" t="n"/>
    </row>
    <row r="139">
      <c r="A139" s="43" t="n"/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  <c r="S139" s="43" t="n"/>
      <c r="T139" s="43" t="n"/>
      <c r="U139" s="43" t="n"/>
      <c r="V139" s="43" t="n"/>
      <c r="W139" s="43" t="n"/>
      <c r="X139" s="43" t="n"/>
      <c r="Y139" s="43" t="n"/>
      <c r="Z139" s="43" t="n"/>
    </row>
    <row r="140">
      <c r="A140" s="43" t="n"/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  <c r="S140" s="43" t="n"/>
      <c r="T140" s="43" t="n"/>
      <c r="U140" s="43" t="n"/>
      <c r="V140" s="43" t="n"/>
      <c r="W140" s="43" t="n"/>
      <c r="X140" s="43" t="n"/>
      <c r="Y140" s="43" t="n"/>
      <c r="Z140" s="43" t="n"/>
    </row>
    <row r="141">
      <c r="A141" s="43" t="n"/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  <c r="S141" s="43" t="n"/>
      <c r="T141" s="43" t="n"/>
      <c r="U141" s="43" t="n"/>
      <c r="V141" s="43" t="n"/>
      <c r="W141" s="43" t="n"/>
      <c r="X141" s="43" t="n"/>
      <c r="Y141" s="43" t="n"/>
      <c r="Z141" s="43" t="n"/>
    </row>
    <row r="142">
      <c r="A142" s="43" t="n"/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  <c r="R142" s="43" t="n"/>
      <c r="S142" s="43" t="n"/>
      <c r="T142" s="43" t="n"/>
      <c r="U142" s="43" t="n"/>
      <c r="V142" s="43" t="n"/>
      <c r="W142" s="43" t="n"/>
      <c r="X142" s="43" t="n"/>
      <c r="Y142" s="43" t="n"/>
      <c r="Z142" s="43" t="n"/>
    </row>
    <row r="143">
      <c r="A143" s="43" t="n"/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  <c r="S143" s="43" t="n"/>
      <c r="T143" s="43" t="n"/>
      <c r="U143" s="43" t="n"/>
      <c r="V143" s="43" t="n"/>
      <c r="W143" s="43" t="n"/>
      <c r="X143" s="43" t="n"/>
      <c r="Y143" s="43" t="n"/>
      <c r="Z143" s="43" t="n"/>
    </row>
    <row r="144">
      <c r="A144" s="43" t="n"/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  <c r="R144" s="43" t="n"/>
      <c r="S144" s="43" t="n"/>
      <c r="T144" s="43" t="n"/>
      <c r="U144" s="43" t="n"/>
      <c r="V144" s="43" t="n"/>
      <c r="W144" s="43" t="n"/>
      <c r="X144" s="43" t="n"/>
      <c r="Y144" s="43" t="n"/>
      <c r="Z144" s="43" t="n"/>
    </row>
    <row r="145">
      <c r="A145" s="43" t="n"/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  <c r="R145" s="43" t="n"/>
      <c r="S145" s="43" t="n"/>
      <c r="T145" s="43" t="n"/>
      <c r="U145" s="43" t="n"/>
      <c r="V145" s="43" t="n"/>
      <c r="W145" s="43" t="n"/>
      <c r="X145" s="43" t="n"/>
      <c r="Y145" s="43" t="n"/>
      <c r="Z145" s="43" t="n"/>
    </row>
    <row r="146">
      <c r="A146" s="43" t="n"/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  <c r="R146" s="43" t="n"/>
      <c r="S146" s="43" t="n"/>
      <c r="T146" s="43" t="n"/>
      <c r="U146" s="43" t="n"/>
      <c r="V146" s="43" t="n"/>
      <c r="W146" s="43" t="n"/>
      <c r="X146" s="43" t="n"/>
      <c r="Y146" s="43" t="n"/>
      <c r="Z146" s="43" t="n"/>
    </row>
    <row r="147">
      <c r="A147" s="43" t="n"/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  <c r="R147" s="43" t="n"/>
      <c r="S147" s="43" t="n"/>
      <c r="T147" s="43" t="n"/>
      <c r="U147" s="43" t="n"/>
      <c r="V147" s="43" t="n"/>
      <c r="W147" s="43" t="n"/>
      <c r="X147" s="43" t="n"/>
      <c r="Y147" s="43" t="n"/>
      <c r="Z147" s="43" t="n"/>
    </row>
    <row r="148">
      <c r="A148" s="43" t="n"/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  <c r="R148" s="43" t="n"/>
      <c r="S148" s="43" t="n"/>
      <c r="T148" s="43" t="n"/>
      <c r="U148" s="43" t="n"/>
      <c r="V148" s="43" t="n"/>
      <c r="W148" s="43" t="n"/>
      <c r="X148" s="43" t="n"/>
      <c r="Y148" s="43" t="n"/>
      <c r="Z148" s="43" t="n"/>
    </row>
    <row r="149">
      <c r="A149" s="43" t="n"/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  <c r="R149" s="43" t="n"/>
      <c r="S149" s="43" t="n"/>
      <c r="T149" s="43" t="n"/>
      <c r="U149" s="43" t="n"/>
      <c r="V149" s="43" t="n"/>
      <c r="W149" s="43" t="n"/>
      <c r="X149" s="43" t="n"/>
      <c r="Y149" s="43" t="n"/>
      <c r="Z149" s="43" t="n"/>
    </row>
    <row r="150">
      <c r="A150" s="43" t="n"/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  <c r="R150" s="43" t="n"/>
      <c r="S150" s="43" t="n"/>
      <c r="T150" s="43" t="n"/>
      <c r="U150" s="43" t="n"/>
      <c r="V150" s="43" t="n"/>
      <c r="W150" s="43" t="n"/>
      <c r="X150" s="43" t="n"/>
      <c r="Y150" s="43" t="n"/>
      <c r="Z150" s="43" t="n"/>
    </row>
    <row r="151">
      <c r="A151" s="43" t="n"/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  <c r="R151" s="43" t="n"/>
      <c r="S151" s="43" t="n"/>
      <c r="T151" s="43" t="n"/>
      <c r="U151" s="43" t="n"/>
      <c r="V151" s="43" t="n"/>
      <c r="W151" s="43" t="n"/>
      <c r="X151" s="43" t="n"/>
      <c r="Y151" s="43" t="n"/>
      <c r="Z151" s="43" t="n"/>
    </row>
    <row r="152">
      <c r="A152" s="43" t="n"/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  <c r="R152" s="43" t="n"/>
      <c r="S152" s="43" t="n"/>
      <c r="T152" s="43" t="n"/>
      <c r="U152" s="43" t="n"/>
      <c r="V152" s="43" t="n"/>
      <c r="W152" s="43" t="n"/>
      <c r="X152" s="43" t="n"/>
      <c r="Y152" s="43" t="n"/>
      <c r="Z152" s="43" t="n"/>
    </row>
    <row r="153">
      <c r="A153" s="43" t="n"/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  <c r="R153" s="43" t="n"/>
      <c r="S153" s="43" t="n"/>
      <c r="T153" s="43" t="n"/>
      <c r="U153" s="43" t="n"/>
      <c r="V153" s="43" t="n"/>
      <c r="W153" s="43" t="n"/>
      <c r="X153" s="43" t="n"/>
      <c r="Y153" s="43" t="n"/>
      <c r="Z153" s="43" t="n"/>
    </row>
    <row r="154">
      <c r="A154" s="43" t="n"/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  <c r="R154" s="43" t="n"/>
      <c r="S154" s="43" t="n"/>
      <c r="T154" s="43" t="n"/>
      <c r="U154" s="43" t="n"/>
      <c r="V154" s="43" t="n"/>
      <c r="W154" s="43" t="n"/>
      <c r="X154" s="43" t="n"/>
      <c r="Y154" s="43" t="n"/>
      <c r="Z154" s="43" t="n"/>
    </row>
    <row r="155">
      <c r="A155" s="43" t="n"/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  <c r="R155" s="43" t="n"/>
      <c r="S155" s="43" t="n"/>
      <c r="T155" s="43" t="n"/>
      <c r="U155" s="43" t="n"/>
      <c r="V155" s="43" t="n"/>
      <c r="W155" s="43" t="n"/>
      <c r="X155" s="43" t="n"/>
      <c r="Y155" s="43" t="n"/>
      <c r="Z155" s="43" t="n"/>
    </row>
    <row r="156">
      <c r="A156" s="43" t="n"/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  <c r="R156" s="43" t="n"/>
      <c r="S156" s="43" t="n"/>
      <c r="T156" s="43" t="n"/>
      <c r="U156" s="43" t="n"/>
      <c r="V156" s="43" t="n"/>
      <c r="W156" s="43" t="n"/>
      <c r="X156" s="43" t="n"/>
      <c r="Y156" s="43" t="n"/>
      <c r="Z156" s="43" t="n"/>
    </row>
    <row r="157">
      <c r="A157" s="43" t="n"/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  <c r="R157" s="43" t="n"/>
      <c r="S157" s="43" t="n"/>
      <c r="T157" s="43" t="n"/>
      <c r="U157" s="43" t="n"/>
      <c r="V157" s="43" t="n"/>
      <c r="W157" s="43" t="n"/>
      <c r="X157" s="43" t="n"/>
      <c r="Y157" s="43" t="n"/>
      <c r="Z157" s="43" t="n"/>
    </row>
    <row r="158">
      <c r="A158" s="43" t="n"/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  <c r="R158" s="43" t="n"/>
      <c r="S158" s="43" t="n"/>
      <c r="T158" s="43" t="n"/>
      <c r="U158" s="43" t="n"/>
      <c r="V158" s="43" t="n"/>
      <c r="W158" s="43" t="n"/>
      <c r="X158" s="43" t="n"/>
      <c r="Y158" s="43" t="n"/>
      <c r="Z158" s="43" t="n"/>
    </row>
    <row r="159">
      <c r="A159" s="43" t="n"/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  <c r="R159" s="43" t="n"/>
      <c r="S159" s="43" t="n"/>
      <c r="T159" s="43" t="n"/>
      <c r="U159" s="43" t="n"/>
      <c r="V159" s="43" t="n"/>
      <c r="W159" s="43" t="n"/>
      <c r="X159" s="43" t="n"/>
      <c r="Y159" s="43" t="n"/>
      <c r="Z159" s="43" t="n"/>
    </row>
    <row r="160">
      <c r="A160" s="43" t="n"/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  <c r="R160" s="43" t="n"/>
      <c r="S160" s="43" t="n"/>
      <c r="T160" s="43" t="n"/>
      <c r="U160" s="43" t="n"/>
      <c r="V160" s="43" t="n"/>
      <c r="W160" s="43" t="n"/>
      <c r="X160" s="43" t="n"/>
      <c r="Y160" s="43" t="n"/>
      <c r="Z160" s="43" t="n"/>
    </row>
    <row r="161">
      <c r="A161" s="43" t="n"/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  <c r="R161" s="43" t="n"/>
      <c r="S161" s="43" t="n"/>
      <c r="T161" s="43" t="n"/>
      <c r="U161" s="43" t="n"/>
      <c r="V161" s="43" t="n"/>
      <c r="W161" s="43" t="n"/>
      <c r="X161" s="43" t="n"/>
      <c r="Y161" s="43" t="n"/>
      <c r="Z161" s="43" t="n"/>
    </row>
    <row r="162">
      <c r="A162" s="43" t="n"/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  <c r="R162" s="43" t="n"/>
      <c r="S162" s="43" t="n"/>
      <c r="T162" s="43" t="n"/>
      <c r="U162" s="43" t="n"/>
      <c r="V162" s="43" t="n"/>
      <c r="W162" s="43" t="n"/>
      <c r="X162" s="43" t="n"/>
      <c r="Y162" s="43" t="n"/>
      <c r="Z162" s="43" t="n"/>
    </row>
    <row r="163">
      <c r="A163" s="43" t="n"/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  <c r="R163" s="43" t="n"/>
      <c r="S163" s="43" t="n"/>
      <c r="T163" s="43" t="n"/>
      <c r="U163" s="43" t="n"/>
      <c r="V163" s="43" t="n"/>
      <c r="W163" s="43" t="n"/>
      <c r="X163" s="43" t="n"/>
      <c r="Y163" s="43" t="n"/>
      <c r="Z163" s="43" t="n"/>
    </row>
    <row r="164">
      <c r="A164" s="43" t="n"/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  <c r="R164" s="43" t="n"/>
      <c r="S164" s="43" t="n"/>
      <c r="T164" s="43" t="n"/>
      <c r="U164" s="43" t="n"/>
      <c r="V164" s="43" t="n"/>
      <c r="W164" s="43" t="n"/>
      <c r="X164" s="43" t="n"/>
      <c r="Y164" s="43" t="n"/>
      <c r="Z164" s="43" t="n"/>
    </row>
    <row r="165">
      <c r="A165" s="43" t="n"/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  <c r="R165" s="43" t="n"/>
      <c r="S165" s="43" t="n"/>
      <c r="T165" s="43" t="n"/>
      <c r="U165" s="43" t="n"/>
      <c r="V165" s="43" t="n"/>
      <c r="W165" s="43" t="n"/>
      <c r="X165" s="43" t="n"/>
      <c r="Y165" s="43" t="n"/>
      <c r="Z165" s="43" t="n"/>
    </row>
    <row r="166">
      <c r="A166" s="43" t="n"/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  <c r="R166" s="43" t="n"/>
      <c r="S166" s="43" t="n"/>
      <c r="T166" s="43" t="n"/>
      <c r="U166" s="43" t="n"/>
      <c r="V166" s="43" t="n"/>
      <c r="W166" s="43" t="n"/>
      <c r="X166" s="43" t="n"/>
      <c r="Y166" s="43" t="n"/>
      <c r="Z166" s="43" t="n"/>
    </row>
    <row r="167">
      <c r="A167" s="43" t="n"/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  <c r="R167" s="43" t="n"/>
      <c r="S167" s="43" t="n"/>
      <c r="T167" s="43" t="n"/>
      <c r="U167" s="43" t="n"/>
      <c r="V167" s="43" t="n"/>
      <c r="W167" s="43" t="n"/>
      <c r="X167" s="43" t="n"/>
      <c r="Y167" s="43" t="n"/>
      <c r="Z167" s="43" t="n"/>
    </row>
    <row r="168">
      <c r="A168" s="43" t="n"/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  <c r="R168" s="43" t="n"/>
      <c r="S168" s="43" t="n"/>
      <c r="T168" s="43" t="n"/>
      <c r="U168" s="43" t="n"/>
      <c r="V168" s="43" t="n"/>
      <c r="W168" s="43" t="n"/>
      <c r="X168" s="43" t="n"/>
      <c r="Y168" s="43" t="n"/>
      <c r="Z168" s="43" t="n"/>
    </row>
    <row r="169">
      <c r="A169" s="43" t="n"/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  <c r="R169" s="43" t="n"/>
      <c r="S169" s="43" t="n"/>
      <c r="T169" s="43" t="n"/>
      <c r="U169" s="43" t="n"/>
      <c r="V169" s="43" t="n"/>
      <c r="W169" s="43" t="n"/>
      <c r="X169" s="43" t="n"/>
      <c r="Y169" s="43" t="n"/>
      <c r="Z169" s="43" t="n"/>
    </row>
    <row r="170">
      <c r="A170" s="43" t="n"/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  <c r="R170" s="43" t="n"/>
      <c r="S170" s="43" t="n"/>
      <c r="T170" s="43" t="n"/>
      <c r="U170" s="43" t="n"/>
      <c r="V170" s="43" t="n"/>
      <c r="W170" s="43" t="n"/>
      <c r="X170" s="43" t="n"/>
      <c r="Y170" s="43" t="n"/>
      <c r="Z170" s="43" t="n"/>
    </row>
    <row r="171">
      <c r="A171" s="43" t="n"/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  <c r="R171" s="43" t="n"/>
      <c r="S171" s="43" t="n"/>
      <c r="T171" s="43" t="n"/>
      <c r="U171" s="43" t="n"/>
      <c r="V171" s="43" t="n"/>
      <c r="W171" s="43" t="n"/>
      <c r="X171" s="43" t="n"/>
      <c r="Y171" s="43" t="n"/>
      <c r="Z171" s="43" t="n"/>
    </row>
    <row r="172">
      <c r="A172" s="43" t="n"/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  <c r="R172" s="43" t="n"/>
      <c r="S172" s="43" t="n"/>
      <c r="T172" s="43" t="n"/>
      <c r="U172" s="43" t="n"/>
      <c r="V172" s="43" t="n"/>
      <c r="W172" s="43" t="n"/>
      <c r="X172" s="43" t="n"/>
      <c r="Y172" s="43" t="n"/>
      <c r="Z172" s="43" t="n"/>
    </row>
    <row r="173">
      <c r="A173" s="43" t="n"/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  <c r="R173" s="43" t="n"/>
      <c r="S173" s="43" t="n"/>
      <c r="T173" s="43" t="n"/>
      <c r="U173" s="43" t="n"/>
      <c r="V173" s="43" t="n"/>
      <c r="W173" s="43" t="n"/>
      <c r="X173" s="43" t="n"/>
      <c r="Y173" s="43" t="n"/>
      <c r="Z173" s="43" t="n"/>
    </row>
    <row r="174">
      <c r="A174" s="43" t="n"/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  <c r="R174" s="43" t="n"/>
      <c r="S174" s="43" t="n"/>
      <c r="T174" s="43" t="n"/>
      <c r="U174" s="43" t="n"/>
      <c r="V174" s="43" t="n"/>
      <c r="W174" s="43" t="n"/>
      <c r="X174" s="43" t="n"/>
      <c r="Y174" s="43" t="n"/>
      <c r="Z174" s="43" t="n"/>
    </row>
    <row r="175">
      <c r="A175" s="43" t="n"/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</row>
    <row r="176">
      <c r="A176" s="43" t="n"/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</row>
    <row r="177">
      <c r="A177" s="43" t="n"/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  <c r="R177" s="43" t="n"/>
      <c r="S177" s="43" t="n"/>
      <c r="T177" s="43" t="n"/>
      <c r="U177" s="43" t="n"/>
      <c r="V177" s="43" t="n"/>
      <c r="W177" s="43" t="n"/>
      <c r="X177" s="43" t="n"/>
      <c r="Y177" s="43" t="n"/>
      <c r="Z177" s="43" t="n"/>
    </row>
    <row r="178">
      <c r="A178" s="43" t="n"/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  <c r="R178" s="43" t="n"/>
      <c r="S178" s="43" t="n"/>
      <c r="T178" s="43" t="n"/>
      <c r="U178" s="43" t="n"/>
      <c r="V178" s="43" t="n"/>
      <c r="W178" s="43" t="n"/>
      <c r="X178" s="43" t="n"/>
      <c r="Y178" s="43" t="n"/>
      <c r="Z178" s="43" t="n"/>
    </row>
    <row r="179">
      <c r="A179" s="43" t="n"/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  <c r="R179" s="43" t="n"/>
      <c r="S179" s="43" t="n"/>
      <c r="T179" s="43" t="n"/>
      <c r="U179" s="43" t="n"/>
      <c r="V179" s="43" t="n"/>
      <c r="W179" s="43" t="n"/>
      <c r="X179" s="43" t="n"/>
      <c r="Y179" s="43" t="n"/>
      <c r="Z179" s="43" t="n"/>
    </row>
    <row r="180">
      <c r="A180" s="43" t="n"/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  <c r="R180" s="43" t="n"/>
      <c r="S180" s="43" t="n"/>
      <c r="T180" s="43" t="n"/>
      <c r="U180" s="43" t="n"/>
      <c r="V180" s="43" t="n"/>
      <c r="W180" s="43" t="n"/>
      <c r="X180" s="43" t="n"/>
      <c r="Y180" s="43" t="n"/>
      <c r="Z180" s="43" t="n"/>
    </row>
    <row r="181">
      <c r="A181" s="43" t="n"/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  <c r="R181" s="43" t="n"/>
      <c r="S181" s="43" t="n"/>
      <c r="T181" s="43" t="n"/>
      <c r="U181" s="43" t="n"/>
      <c r="V181" s="43" t="n"/>
      <c r="W181" s="43" t="n"/>
      <c r="X181" s="43" t="n"/>
      <c r="Y181" s="43" t="n"/>
      <c r="Z181" s="43" t="n"/>
    </row>
    <row r="182">
      <c r="A182" s="43" t="n"/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  <c r="R182" s="43" t="n"/>
      <c r="S182" s="43" t="n"/>
      <c r="T182" s="43" t="n"/>
      <c r="U182" s="43" t="n"/>
      <c r="V182" s="43" t="n"/>
      <c r="W182" s="43" t="n"/>
      <c r="X182" s="43" t="n"/>
      <c r="Y182" s="43" t="n"/>
      <c r="Z182" s="43" t="n"/>
    </row>
    <row r="183">
      <c r="A183" s="43" t="n"/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  <c r="R183" s="43" t="n"/>
      <c r="S183" s="43" t="n"/>
      <c r="T183" s="43" t="n"/>
      <c r="U183" s="43" t="n"/>
      <c r="V183" s="43" t="n"/>
      <c r="W183" s="43" t="n"/>
      <c r="X183" s="43" t="n"/>
      <c r="Y183" s="43" t="n"/>
      <c r="Z183" s="43" t="n"/>
    </row>
    <row r="184">
      <c r="A184" s="43" t="n"/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  <c r="R184" s="43" t="n"/>
      <c r="S184" s="43" t="n"/>
      <c r="T184" s="43" t="n"/>
      <c r="U184" s="43" t="n"/>
      <c r="V184" s="43" t="n"/>
      <c r="W184" s="43" t="n"/>
      <c r="X184" s="43" t="n"/>
      <c r="Y184" s="43" t="n"/>
      <c r="Z184" s="43" t="n"/>
    </row>
    <row r="185">
      <c r="A185" s="43" t="n"/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  <c r="R185" s="43" t="n"/>
      <c r="S185" s="43" t="n"/>
      <c r="T185" s="43" t="n"/>
      <c r="U185" s="43" t="n"/>
      <c r="V185" s="43" t="n"/>
      <c r="W185" s="43" t="n"/>
      <c r="X185" s="43" t="n"/>
      <c r="Y185" s="43" t="n"/>
      <c r="Z185" s="43" t="n"/>
    </row>
    <row r="186">
      <c r="A186" s="43" t="n"/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  <c r="R186" s="43" t="n"/>
      <c r="S186" s="43" t="n"/>
      <c r="T186" s="43" t="n"/>
      <c r="U186" s="43" t="n"/>
      <c r="V186" s="43" t="n"/>
      <c r="W186" s="43" t="n"/>
      <c r="X186" s="43" t="n"/>
      <c r="Y186" s="43" t="n"/>
      <c r="Z186" s="43" t="n"/>
    </row>
    <row r="187">
      <c r="A187" s="43" t="n"/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</row>
    <row r="188">
      <c r="A188" s="43" t="n"/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</row>
    <row r="189">
      <c r="A189" s="43" t="n"/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</row>
    <row r="190">
      <c r="A190" s="43" t="n"/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</row>
    <row r="191">
      <c r="A191" s="43" t="n"/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</row>
    <row r="192">
      <c r="A192" s="43" t="n"/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</row>
    <row r="193">
      <c r="A193" s="43" t="n"/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</row>
    <row r="194">
      <c r="A194" s="43" t="n"/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</row>
    <row r="195">
      <c r="A195" s="43" t="n"/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</row>
    <row r="196">
      <c r="A196" s="43" t="n"/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</row>
    <row r="197">
      <c r="A197" s="43" t="n"/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</row>
    <row r="198">
      <c r="A198" s="43" t="n"/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</row>
    <row r="199">
      <c r="A199" s="43" t="n"/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</row>
    <row r="200">
      <c r="A200" s="43" t="n"/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</row>
    <row r="201">
      <c r="A201" s="43" t="n"/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</row>
    <row r="202">
      <c r="A202" s="43" t="n"/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</row>
    <row r="203">
      <c r="A203" s="43" t="n"/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</row>
    <row r="204">
      <c r="A204" s="43" t="n"/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</row>
    <row r="205">
      <c r="A205" s="43" t="n"/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</row>
    <row r="206">
      <c r="A206" s="43" t="n"/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</row>
    <row r="207">
      <c r="A207" s="43" t="n"/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</row>
    <row r="208">
      <c r="A208" s="43" t="n"/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</row>
    <row r="209">
      <c r="A209" s="43" t="n"/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</row>
    <row r="210">
      <c r="A210" s="43" t="n"/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</row>
    <row r="211">
      <c r="A211" s="43" t="n"/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  <c r="R211" s="43" t="n"/>
      <c r="S211" s="43" t="n"/>
      <c r="T211" s="43" t="n"/>
      <c r="U211" s="43" t="n"/>
      <c r="V211" s="43" t="n"/>
      <c r="W211" s="43" t="n"/>
      <c r="X211" s="43" t="n"/>
      <c r="Y211" s="43" t="n"/>
      <c r="Z211" s="43" t="n"/>
    </row>
    <row r="212">
      <c r="A212" s="43" t="n"/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  <c r="R212" s="43" t="n"/>
      <c r="S212" s="43" t="n"/>
      <c r="T212" s="43" t="n"/>
      <c r="U212" s="43" t="n"/>
      <c r="V212" s="43" t="n"/>
      <c r="W212" s="43" t="n"/>
      <c r="X212" s="43" t="n"/>
      <c r="Y212" s="43" t="n"/>
      <c r="Z212" s="43" t="n"/>
    </row>
    <row r="213">
      <c r="A213" s="43" t="n"/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  <c r="R213" s="43" t="n"/>
      <c r="S213" s="43" t="n"/>
      <c r="T213" s="43" t="n"/>
      <c r="U213" s="43" t="n"/>
      <c r="V213" s="43" t="n"/>
      <c r="W213" s="43" t="n"/>
      <c r="X213" s="43" t="n"/>
      <c r="Y213" s="43" t="n"/>
      <c r="Z213" s="43" t="n"/>
    </row>
    <row r="214">
      <c r="A214" s="43" t="n"/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  <c r="R214" s="43" t="n"/>
      <c r="S214" s="43" t="n"/>
      <c r="T214" s="43" t="n"/>
      <c r="U214" s="43" t="n"/>
      <c r="V214" s="43" t="n"/>
      <c r="W214" s="43" t="n"/>
      <c r="X214" s="43" t="n"/>
      <c r="Y214" s="43" t="n"/>
      <c r="Z214" s="43" t="n"/>
    </row>
    <row r="215">
      <c r="A215" s="43" t="n"/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</row>
    <row r="216">
      <c r="A216" s="43" t="n"/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  <c r="R216" s="43" t="n"/>
      <c r="S216" s="43" t="n"/>
      <c r="T216" s="43" t="n"/>
      <c r="U216" s="43" t="n"/>
      <c r="V216" s="43" t="n"/>
      <c r="W216" s="43" t="n"/>
      <c r="X216" s="43" t="n"/>
      <c r="Y216" s="43" t="n"/>
      <c r="Z216" s="43" t="n"/>
    </row>
    <row r="217">
      <c r="A217" s="43" t="n"/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  <c r="R217" s="43" t="n"/>
      <c r="S217" s="43" t="n"/>
      <c r="T217" s="43" t="n"/>
      <c r="U217" s="43" t="n"/>
      <c r="V217" s="43" t="n"/>
      <c r="W217" s="43" t="n"/>
      <c r="X217" s="43" t="n"/>
      <c r="Y217" s="43" t="n"/>
      <c r="Z217" s="43" t="n"/>
    </row>
    <row r="218">
      <c r="A218" s="43" t="n"/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  <c r="R218" s="43" t="n"/>
      <c r="S218" s="43" t="n"/>
      <c r="T218" s="43" t="n"/>
      <c r="U218" s="43" t="n"/>
      <c r="V218" s="43" t="n"/>
      <c r="W218" s="43" t="n"/>
      <c r="X218" s="43" t="n"/>
      <c r="Y218" s="43" t="n"/>
      <c r="Z218" s="43" t="n"/>
    </row>
    <row r="219">
      <c r="A219" s="43" t="n"/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  <c r="R219" s="43" t="n"/>
      <c r="S219" s="43" t="n"/>
      <c r="T219" s="43" t="n"/>
      <c r="U219" s="43" t="n"/>
      <c r="V219" s="43" t="n"/>
      <c r="W219" s="43" t="n"/>
      <c r="X219" s="43" t="n"/>
      <c r="Y219" s="43" t="n"/>
      <c r="Z219" s="43" t="n"/>
    </row>
    <row r="220">
      <c r="A220" s="43" t="n"/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</row>
    <row r="221">
      <c r="A221" s="43" t="n"/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  <c r="R221" s="43" t="n"/>
      <c r="S221" s="43" t="n"/>
      <c r="T221" s="43" t="n"/>
      <c r="U221" s="43" t="n"/>
      <c r="V221" s="43" t="n"/>
      <c r="W221" s="43" t="n"/>
      <c r="X221" s="43" t="n"/>
      <c r="Y221" s="43" t="n"/>
      <c r="Z221" s="43" t="n"/>
    </row>
    <row r="222">
      <c r="A222" s="43" t="n"/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  <c r="R222" s="43" t="n"/>
      <c r="S222" s="43" t="n"/>
      <c r="T222" s="43" t="n"/>
      <c r="U222" s="43" t="n"/>
      <c r="V222" s="43" t="n"/>
      <c r="W222" s="43" t="n"/>
      <c r="X222" s="43" t="n"/>
      <c r="Y222" s="43" t="n"/>
      <c r="Z222" s="43" t="n"/>
    </row>
    <row r="223">
      <c r="A223" s="43" t="n"/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</row>
    <row r="224">
      <c r="A224" s="43" t="n"/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  <c r="R224" s="43" t="n"/>
      <c r="S224" s="43" t="n"/>
      <c r="T224" s="43" t="n"/>
      <c r="U224" s="43" t="n"/>
      <c r="V224" s="43" t="n"/>
      <c r="W224" s="43" t="n"/>
      <c r="X224" s="43" t="n"/>
      <c r="Y224" s="43" t="n"/>
      <c r="Z224" s="43" t="n"/>
    </row>
    <row r="225">
      <c r="A225" s="43" t="n"/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  <c r="R225" s="43" t="n"/>
      <c r="S225" s="43" t="n"/>
      <c r="T225" s="43" t="n"/>
      <c r="U225" s="43" t="n"/>
      <c r="V225" s="43" t="n"/>
      <c r="W225" s="43" t="n"/>
      <c r="X225" s="43" t="n"/>
      <c r="Y225" s="43" t="n"/>
      <c r="Z225" s="43" t="n"/>
    </row>
    <row r="226">
      <c r="A226" s="43" t="n"/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  <c r="R226" s="43" t="n"/>
      <c r="S226" s="43" t="n"/>
      <c r="T226" s="43" t="n"/>
      <c r="U226" s="43" t="n"/>
      <c r="V226" s="43" t="n"/>
      <c r="W226" s="43" t="n"/>
      <c r="X226" s="43" t="n"/>
      <c r="Y226" s="43" t="n"/>
      <c r="Z226" s="43" t="n"/>
    </row>
    <row r="227">
      <c r="A227" s="43" t="n"/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</row>
    <row r="228">
      <c r="A228" s="43" t="n"/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  <c r="R228" s="43" t="n"/>
      <c r="S228" s="43" t="n"/>
      <c r="T228" s="43" t="n"/>
      <c r="U228" s="43" t="n"/>
      <c r="V228" s="43" t="n"/>
      <c r="W228" s="43" t="n"/>
      <c r="X228" s="43" t="n"/>
      <c r="Y228" s="43" t="n"/>
      <c r="Z228" s="43" t="n"/>
    </row>
    <row r="229">
      <c r="A229" s="43" t="n"/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  <c r="R229" s="43" t="n"/>
      <c r="S229" s="43" t="n"/>
      <c r="T229" s="43" t="n"/>
      <c r="U229" s="43" t="n"/>
      <c r="V229" s="43" t="n"/>
      <c r="W229" s="43" t="n"/>
      <c r="X229" s="43" t="n"/>
      <c r="Y229" s="43" t="n"/>
      <c r="Z229" s="43" t="n"/>
    </row>
    <row r="230">
      <c r="A230" s="43" t="n"/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  <c r="R230" s="43" t="n"/>
      <c r="S230" s="43" t="n"/>
      <c r="T230" s="43" t="n"/>
      <c r="U230" s="43" t="n"/>
      <c r="V230" s="43" t="n"/>
      <c r="W230" s="43" t="n"/>
      <c r="X230" s="43" t="n"/>
      <c r="Y230" s="43" t="n"/>
      <c r="Z230" s="43" t="n"/>
    </row>
    <row r="231">
      <c r="A231" s="43" t="n"/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</row>
    <row r="232">
      <c r="A232" s="43" t="n"/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  <c r="R232" s="43" t="n"/>
      <c r="S232" s="43" t="n"/>
      <c r="T232" s="43" t="n"/>
      <c r="U232" s="43" t="n"/>
      <c r="V232" s="43" t="n"/>
      <c r="W232" s="43" t="n"/>
      <c r="X232" s="43" t="n"/>
      <c r="Y232" s="43" t="n"/>
      <c r="Z232" s="43" t="n"/>
    </row>
    <row r="233">
      <c r="A233" s="43" t="n"/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  <c r="R233" s="43" t="n"/>
      <c r="S233" s="43" t="n"/>
      <c r="T233" s="43" t="n"/>
      <c r="U233" s="43" t="n"/>
      <c r="V233" s="43" t="n"/>
      <c r="W233" s="43" t="n"/>
      <c r="X233" s="43" t="n"/>
      <c r="Y233" s="43" t="n"/>
      <c r="Z233" s="43" t="n"/>
    </row>
    <row r="234">
      <c r="A234" s="43" t="n"/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  <c r="R234" s="43" t="n"/>
      <c r="S234" s="43" t="n"/>
      <c r="T234" s="43" t="n"/>
      <c r="U234" s="43" t="n"/>
      <c r="V234" s="43" t="n"/>
      <c r="W234" s="43" t="n"/>
      <c r="X234" s="43" t="n"/>
      <c r="Y234" s="43" t="n"/>
      <c r="Z234" s="43" t="n"/>
    </row>
    <row r="235">
      <c r="A235" s="43" t="n"/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</row>
    <row r="236">
      <c r="A236" s="43" t="n"/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  <c r="R236" s="43" t="n"/>
      <c r="S236" s="43" t="n"/>
      <c r="T236" s="43" t="n"/>
      <c r="U236" s="43" t="n"/>
      <c r="V236" s="43" t="n"/>
      <c r="W236" s="43" t="n"/>
      <c r="X236" s="43" t="n"/>
      <c r="Y236" s="43" t="n"/>
      <c r="Z236" s="43" t="n"/>
    </row>
    <row r="237">
      <c r="A237" s="43" t="n"/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  <c r="R237" s="43" t="n"/>
      <c r="S237" s="43" t="n"/>
      <c r="T237" s="43" t="n"/>
      <c r="U237" s="43" t="n"/>
      <c r="V237" s="43" t="n"/>
      <c r="W237" s="43" t="n"/>
      <c r="X237" s="43" t="n"/>
      <c r="Y237" s="43" t="n"/>
      <c r="Z237" s="43" t="n"/>
    </row>
    <row r="238">
      <c r="A238" s="43" t="n"/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  <c r="R238" s="43" t="n"/>
      <c r="S238" s="43" t="n"/>
      <c r="T238" s="43" t="n"/>
      <c r="U238" s="43" t="n"/>
      <c r="V238" s="43" t="n"/>
      <c r="W238" s="43" t="n"/>
      <c r="X238" s="43" t="n"/>
      <c r="Y238" s="43" t="n"/>
      <c r="Z238" s="43" t="n"/>
    </row>
    <row r="239">
      <c r="A239" s="43" t="n"/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</row>
    <row r="240">
      <c r="A240" s="43" t="n"/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  <c r="R240" s="43" t="n"/>
      <c r="S240" s="43" t="n"/>
      <c r="T240" s="43" t="n"/>
      <c r="U240" s="43" t="n"/>
      <c r="V240" s="43" t="n"/>
      <c r="W240" s="43" t="n"/>
      <c r="X240" s="43" t="n"/>
      <c r="Y240" s="43" t="n"/>
      <c r="Z240" s="43" t="n"/>
    </row>
    <row r="241">
      <c r="A241" s="43" t="n"/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  <c r="R241" s="43" t="n"/>
      <c r="S241" s="43" t="n"/>
      <c r="T241" s="43" t="n"/>
      <c r="U241" s="43" t="n"/>
      <c r="V241" s="43" t="n"/>
      <c r="W241" s="43" t="n"/>
      <c r="X241" s="43" t="n"/>
      <c r="Y241" s="43" t="n"/>
      <c r="Z241" s="43" t="n"/>
    </row>
    <row r="242">
      <c r="A242" s="43" t="n"/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</row>
    <row r="243">
      <c r="A243" s="43" t="n"/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  <c r="R243" s="43" t="n"/>
      <c r="S243" s="43" t="n"/>
      <c r="T243" s="43" t="n"/>
      <c r="U243" s="43" t="n"/>
      <c r="V243" s="43" t="n"/>
      <c r="W243" s="43" t="n"/>
      <c r="X243" s="43" t="n"/>
      <c r="Y243" s="43" t="n"/>
      <c r="Z243" s="43" t="n"/>
    </row>
    <row r="244">
      <c r="A244" s="43" t="n"/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  <c r="R244" s="43" t="n"/>
      <c r="S244" s="43" t="n"/>
      <c r="T244" s="43" t="n"/>
      <c r="U244" s="43" t="n"/>
      <c r="V244" s="43" t="n"/>
      <c r="W244" s="43" t="n"/>
      <c r="X244" s="43" t="n"/>
      <c r="Y244" s="43" t="n"/>
      <c r="Z244" s="43" t="n"/>
    </row>
    <row r="245">
      <c r="A245" s="43" t="n"/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  <c r="R245" s="43" t="n"/>
      <c r="S245" s="43" t="n"/>
      <c r="T245" s="43" t="n"/>
      <c r="U245" s="43" t="n"/>
      <c r="V245" s="43" t="n"/>
      <c r="W245" s="43" t="n"/>
      <c r="X245" s="43" t="n"/>
      <c r="Y245" s="43" t="n"/>
      <c r="Z245" s="43" t="n"/>
    </row>
    <row r="246">
      <c r="A246" s="43" t="n"/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  <c r="R246" s="43" t="n"/>
      <c r="S246" s="43" t="n"/>
      <c r="T246" s="43" t="n"/>
      <c r="U246" s="43" t="n"/>
      <c r="V246" s="43" t="n"/>
      <c r="W246" s="43" t="n"/>
      <c r="X246" s="43" t="n"/>
      <c r="Y246" s="43" t="n"/>
      <c r="Z246" s="43" t="n"/>
    </row>
    <row r="247">
      <c r="A247" s="43" t="n"/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  <c r="R247" s="43" t="n"/>
      <c r="S247" s="43" t="n"/>
      <c r="T247" s="43" t="n"/>
      <c r="U247" s="43" t="n"/>
      <c r="V247" s="43" t="n"/>
      <c r="W247" s="43" t="n"/>
      <c r="X247" s="43" t="n"/>
      <c r="Y247" s="43" t="n"/>
      <c r="Z247" s="43" t="n"/>
    </row>
    <row r="248">
      <c r="A248" s="43" t="n"/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  <c r="R248" s="43" t="n"/>
      <c r="S248" s="43" t="n"/>
      <c r="T248" s="43" t="n"/>
      <c r="U248" s="43" t="n"/>
      <c r="V248" s="43" t="n"/>
      <c r="W248" s="43" t="n"/>
      <c r="X248" s="43" t="n"/>
      <c r="Y248" s="43" t="n"/>
      <c r="Z248" s="43" t="n"/>
    </row>
    <row r="249">
      <c r="A249" s="43" t="n"/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  <c r="R249" s="43" t="n"/>
      <c r="S249" s="43" t="n"/>
      <c r="T249" s="43" t="n"/>
      <c r="U249" s="43" t="n"/>
      <c r="V249" s="43" t="n"/>
      <c r="W249" s="43" t="n"/>
      <c r="X249" s="43" t="n"/>
      <c r="Y249" s="43" t="n"/>
      <c r="Z249" s="43" t="n"/>
    </row>
    <row r="250">
      <c r="A250" s="43" t="n"/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  <c r="R250" s="43" t="n"/>
      <c r="S250" s="43" t="n"/>
      <c r="T250" s="43" t="n"/>
      <c r="U250" s="43" t="n"/>
      <c r="V250" s="43" t="n"/>
      <c r="W250" s="43" t="n"/>
      <c r="X250" s="43" t="n"/>
      <c r="Y250" s="43" t="n"/>
      <c r="Z250" s="43" t="n"/>
    </row>
    <row r="251">
      <c r="A251" s="43" t="n"/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  <c r="R251" s="43" t="n"/>
      <c r="S251" s="43" t="n"/>
      <c r="T251" s="43" t="n"/>
      <c r="U251" s="43" t="n"/>
      <c r="V251" s="43" t="n"/>
      <c r="W251" s="43" t="n"/>
      <c r="X251" s="43" t="n"/>
      <c r="Y251" s="43" t="n"/>
      <c r="Z251" s="43" t="n"/>
    </row>
    <row r="252">
      <c r="A252" s="43" t="n"/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  <c r="R252" s="43" t="n"/>
      <c r="S252" s="43" t="n"/>
      <c r="T252" s="43" t="n"/>
      <c r="U252" s="43" t="n"/>
      <c r="V252" s="43" t="n"/>
      <c r="W252" s="43" t="n"/>
      <c r="X252" s="43" t="n"/>
      <c r="Y252" s="43" t="n"/>
      <c r="Z252" s="43" t="n"/>
    </row>
    <row r="253">
      <c r="A253" s="43" t="n"/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  <c r="R253" s="43" t="n"/>
      <c r="S253" s="43" t="n"/>
      <c r="T253" s="43" t="n"/>
      <c r="U253" s="43" t="n"/>
      <c r="V253" s="43" t="n"/>
      <c r="W253" s="43" t="n"/>
      <c r="X253" s="43" t="n"/>
      <c r="Y253" s="43" t="n"/>
      <c r="Z253" s="43" t="n"/>
    </row>
    <row r="254">
      <c r="A254" s="43" t="n"/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  <c r="R254" s="43" t="n"/>
      <c r="S254" s="43" t="n"/>
      <c r="T254" s="43" t="n"/>
      <c r="U254" s="43" t="n"/>
      <c r="V254" s="43" t="n"/>
      <c r="W254" s="43" t="n"/>
      <c r="X254" s="43" t="n"/>
      <c r="Y254" s="43" t="n"/>
      <c r="Z254" s="43" t="n"/>
    </row>
    <row r="255">
      <c r="A255" s="43" t="n"/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  <c r="R255" s="43" t="n"/>
      <c r="S255" s="43" t="n"/>
      <c r="T255" s="43" t="n"/>
      <c r="U255" s="43" t="n"/>
      <c r="V255" s="43" t="n"/>
      <c r="W255" s="43" t="n"/>
      <c r="X255" s="43" t="n"/>
      <c r="Y255" s="43" t="n"/>
      <c r="Z255" s="43" t="n"/>
    </row>
    <row r="256">
      <c r="A256" s="43" t="n"/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  <c r="R256" s="43" t="n"/>
      <c r="S256" s="43" t="n"/>
      <c r="T256" s="43" t="n"/>
      <c r="U256" s="43" t="n"/>
      <c r="V256" s="43" t="n"/>
      <c r="W256" s="43" t="n"/>
      <c r="X256" s="43" t="n"/>
      <c r="Y256" s="43" t="n"/>
      <c r="Z256" s="43" t="n"/>
    </row>
    <row r="257">
      <c r="A257" s="43" t="n"/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  <c r="R257" s="43" t="n"/>
      <c r="S257" s="43" t="n"/>
      <c r="T257" s="43" t="n"/>
      <c r="U257" s="43" t="n"/>
      <c r="V257" s="43" t="n"/>
      <c r="W257" s="43" t="n"/>
      <c r="X257" s="43" t="n"/>
      <c r="Y257" s="43" t="n"/>
      <c r="Z257" s="43" t="n"/>
    </row>
    <row r="258">
      <c r="A258" s="43" t="n"/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  <c r="R258" s="43" t="n"/>
      <c r="S258" s="43" t="n"/>
      <c r="T258" s="43" t="n"/>
      <c r="U258" s="43" t="n"/>
      <c r="V258" s="43" t="n"/>
      <c r="W258" s="43" t="n"/>
      <c r="X258" s="43" t="n"/>
      <c r="Y258" s="43" t="n"/>
      <c r="Z258" s="43" t="n"/>
    </row>
    <row r="259">
      <c r="A259" s="43" t="n"/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  <c r="R259" s="43" t="n"/>
      <c r="S259" s="43" t="n"/>
      <c r="T259" s="43" t="n"/>
      <c r="U259" s="43" t="n"/>
      <c r="V259" s="43" t="n"/>
      <c r="W259" s="43" t="n"/>
      <c r="X259" s="43" t="n"/>
      <c r="Y259" s="43" t="n"/>
      <c r="Z259" s="43" t="n"/>
    </row>
    <row r="260">
      <c r="A260" s="43" t="n"/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  <c r="R260" s="43" t="n"/>
      <c r="S260" s="43" t="n"/>
      <c r="T260" s="43" t="n"/>
      <c r="U260" s="43" t="n"/>
      <c r="V260" s="43" t="n"/>
      <c r="W260" s="43" t="n"/>
      <c r="X260" s="43" t="n"/>
      <c r="Y260" s="43" t="n"/>
      <c r="Z260" s="43" t="n"/>
    </row>
    <row r="261">
      <c r="A261" s="43" t="n"/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  <c r="R261" s="43" t="n"/>
      <c r="S261" s="43" t="n"/>
      <c r="T261" s="43" t="n"/>
      <c r="U261" s="43" t="n"/>
      <c r="V261" s="43" t="n"/>
      <c r="W261" s="43" t="n"/>
      <c r="X261" s="43" t="n"/>
      <c r="Y261" s="43" t="n"/>
      <c r="Z261" s="43" t="n"/>
    </row>
    <row r="262">
      <c r="A262" s="43" t="n"/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  <c r="R262" s="43" t="n"/>
      <c r="S262" s="43" t="n"/>
      <c r="T262" s="43" t="n"/>
      <c r="U262" s="43" t="n"/>
      <c r="V262" s="43" t="n"/>
      <c r="W262" s="43" t="n"/>
      <c r="X262" s="43" t="n"/>
      <c r="Y262" s="43" t="n"/>
      <c r="Z262" s="43" t="n"/>
    </row>
    <row r="263">
      <c r="A263" s="43" t="n"/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  <c r="R263" s="43" t="n"/>
      <c r="S263" s="43" t="n"/>
      <c r="T263" s="43" t="n"/>
      <c r="U263" s="43" t="n"/>
      <c r="V263" s="43" t="n"/>
      <c r="W263" s="43" t="n"/>
      <c r="X263" s="43" t="n"/>
      <c r="Y263" s="43" t="n"/>
      <c r="Z263" s="43" t="n"/>
    </row>
    <row r="264">
      <c r="A264" s="43" t="n"/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  <c r="R264" s="43" t="n"/>
      <c r="S264" s="43" t="n"/>
      <c r="T264" s="43" t="n"/>
      <c r="U264" s="43" t="n"/>
      <c r="V264" s="43" t="n"/>
      <c r="W264" s="43" t="n"/>
      <c r="X264" s="43" t="n"/>
      <c r="Y264" s="43" t="n"/>
      <c r="Z264" s="43" t="n"/>
    </row>
    <row r="265">
      <c r="A265" s="43" t="n"/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  <c r="R265" s="43" t="n"/>
      <c r="S265" s="43" t="n"/>
      <c r="T265" s="43" t="n"/>
      <c r="U265" s="43" t="n"/>
      <c r="V265" s="43" t="n"/>
      <c r="W265" s="43" t="n"/>
      <c r="X265" s="43" t="n"/>
      <c r="Y265" s="43" t="n"/>
      <c r="Z265" s="43" t="n"/>
    </row>
    <row r="266">
      <c r="A266" s="43" t="n"/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  <c r="R266" s="43" t="n"/>
      <c r="S266" s="43" t="n"/>
      <c r="T266" s="43" t="n"/>
      <c r="U266" s="43" t="n"/>
      <c r="V266" s="43" t="n"/>
      <c r="W266" s="43" t="n"/>
      <c r="X266" s="43" t="n"/>
      <c r="Y266" s="43" t="n"/>
      <c r="Z266" s="43" t="n"/>
    </row>
    <row r="267">
      <c r="A267" s="43" t="n"/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  <c r="R267" s="43" t="n"/>
      <c r="S267" s="43" t="n"/>
      <c r="T267" s="43" t="n"/>
      <c r="U267" s="43" t="n"/>
      <c r="V267" s="43" t="n"/>
      <c r="W267" s="43" t="n"/>
      <c r="X267" s="43" t="n"/>
      <c r="Y267" s="43" t="n"/>
      <c r="Z267" s="43" t="n"/>
    </row>
    <row r="268">
      <c r="A268" s="43" t="n"/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</row>
    <row r="269">
      <c r="A269" s="43" t="n"/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  <c r="R269" s="43" t="n"/>
      <c r="S269" s="43" t="n"/>
      <c r="T269" s="43" t="n"/>
      <c r="U269" s="43" t="n"/>
      <c r="V269" s="43" t="n"/>
      <c r="W269" s="43" t="n"/>
      <c r="X269" s="43" t="n"/>
      <c r="Y269" s="43" t="n"/>
      <c r="Z269" s="43" t="n"/>
    </row>
    <row r="270">
      <c r="A270" s="43" t="n"/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</row>
    <row r="271">
      <c r="A271" s="43" t="n"/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  <c r="R271" s="43" t="n"/>
      <c r="S271" s="43" t="n"/>
      <c r="T271" s="43" t="n"/>
      <c r="U271" s="43" t="n"/>
      <c r="V271" s="43" t="n"/>
      <c r="W271" s="43" t="n"/>
      <c r="X271" s="43" t="n"/>
      <c r="Y271" s="43" t="n"/>
      <c r="Z271" s="43" t="n"/>
    </row>
    <row r="272">
      <c r="A272" s="43" t="n"/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  <c r="R272" s="43" t="n"/>
      <c r="S272" s="43" t="n"/>
      <c r="T272" s="43" t="n"/>
      <c r="U272" s="43" t="n"/>
      <c r="V272" s="43" t="n"/>
      <c r="W272" s="43" t="n"/>
      <c r="X272" s="43" t="n"/>
      <c r="Y272" s="43" t="n"/>
      <c r="Z272" s="43" t="n"/>
    </row>
    <row r="273">
      <c r="A273" s="43" t="n"/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</row>
    <row r="274">
      <c r="A274" s="43" t="n"/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  <c r="R274" s="43" t="n"/>
      <c r="S274" s="43" t="n"/>
      <c r="T274" s="43" t="n"/>
      <c r="U274" s="43" t="n"/>
      <c r="V274" s="43" t="n"/>
      <c r="W274" s="43" t="n"/>
      <c r="X274" s="43" t="n"/>
      <c r="Y274" s="43" t="n"/>
      <c r="Z274" s="43" t="n"/>
    </row>
    <row r="275">
      <c r="A275" s="43" t="n"/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  <c r="R275" s="43" t="n"/>
      <c r="S275" s="43" t="n"/>
      <c r="T275" s="43" t="n"/>
      <c r="U275" s="43" t="n"/>
      <c r="V275" s="43" t="n"/>
      <c r="W275" s="43" t="n"/>
      <c r="X275" s="43" t="n"/>
      <c r="Y275" s="43" t="n"/>
      <c r="Z275" s="43" t="n"/>
    </row>
    <row r="276">
      <c r="A276" s="43" t="n"/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  <c r="R276" s="43" t="n"/>
      <c r="S276" s="43" t="n"/>
      <c r="T276" s="43" t="n"/>
      <c r="U276" s="43" t="n"/>
      <c r="V276" s="43" t="n"/>
      <c r="W276" s="43" t="n"/>
      <c r="X276" s="43" t="n"/>
      <c r="Y276" s="43" t="n"/>
      <c r="Z276" s="43" t="n"/>
    </row>
    <row r="277">
      <c r="A277" s="43" t="n"/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  <c r="R277" s="43" t="n"/>
      <c r="S277" s="43" t="n"/>
      <c r="T277" s="43" t="n"/>
      <c r="U277" s="43" t="n"/>
      <c r="V277" s="43" t="n"/>
      <c r="W277" s="43" t="n"/>
      <c r="X277" s="43" t="n"/>
      <c r="Y277" s="43" t="n"/>
      <c r="Z277" s="43" t="n"/>
    </row>
    <row r="278">
      <c r="A278" s="43" t="n"/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  <c r="R278" s="43" t="n"/>
      <c r="S278" s="43" t="n"/>
      <c r="T278" s="43" t="n"/>
      <c r="U278" s="43" t="n"/>
      <c r="V278" s="43" t="n"/>
      <c r="W278" s="43" t="n"/>
      <c r="X278" s="43" t="n"/>
      <c r="Y278" s="43" t="n"/>
      <c r="Z278" s="43" t="n"/>
    </row>
    <row r="279">
      <c r="A279" s="43" t="n"/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  <c r="R279" s="43" t="n"/>
      <c r="S279" s="43" t="n"/>
      <c r="T279" s="43" t="n"/>
      <c r="U279" s="43" t="n"/>
      <c r="V279" s="43" t="n"/>
      <c r="W279" s="43" t="n"/>
      <c r="X279" s="43" t="n"/>
      <c r="Y279" s="43" t="n"/>
      <c r="Z279" s="43" t="n"/>
    </row>
    <row r="280">
      <c r="A280" s="43" t="n"/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  <c r="R280" s="43" t="n"/>
      <c r="S280" s="43" t="n"/>
      <c r="T280" s="43" t="n"/>
      <c r="U280" s="43" t="n"/>
      <c r="V280" s="43" t="n"/>
      <c r="W280" s="43" t="n"/>
      <c r="X280" s="43" t="n"/>
      <c r="Y280" s="43" t="n"/>
      <c r="Z280" s="43" t="n"/>
    </row>
    <row r="281">
      <c r="A281" s="43" t="n"/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  <c r="R281" s="43" t="n"/>
      <c r="S281" s="43" t="n"/>
      <c r="T281" s="43" t="n"/>
      <c r="U281" s="43" t="n"/>
      <c r="V281" s="43" t="n"/>
      <c r="W281" s="43" t="n"/>
      <c r="X281" s="43" t="n"/>
      <c r="Y281" s="43" t="n"/>
      <c r="Z281" s="43" t="n"/>
    </row>
    <row r="282">
      <c r="A282" s="43" t="n"/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  <c r="R282" s="43" t="n"/>
      <c r="S282" s="43" t="n"/>
      <c r="T282" s="43" t="n"/>
      <c r="U282" s="43" t="n"/>
      <c r="V282" s="43" t="n"/>
      <c r="W282" s="43" t="n"/>
      <c r="X282" s="43" t="n"/>
      <c r="Y282" s="43" t="n"/>
      <c r="Z282" s="43" t="n"/>
    </row>
    <row r="283">
      <c r="A283" s="43" t="n"/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  <c r="R283" s="43" t="n"/>
      <c r="S283" s="43" t="n"/>
      <c r="T283" s="43" t="n"/>
      <c r="U283" s="43" t="n"/>
      <c r="V283" s="43" t="n"/>
      <c r="W283" s="43" t="n"/>
      <c r="X283" s="43" t="n"/>
      <c r="Y283" s="43" t="n"/>
      <c r="Z283" s="43" t="n"/>
    </row>
    <row r="284">
      <c r="A284" s="43" t="n"/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  <c r="R284" s="43" t="n"/>
      <c r="S284" s="43" t="n"/>
      <c r="T284" s="43" t="n"/>
      <c r="U284" s="43" t="n"/>
      <c r="V284" s="43" t="n"/>
      <c r="W284" s="43" t="n"/>
      <c r="X284" s="43" t="n"/>
      <c r="Y284" s="43" t="n"/>
      <c r="Z284" s="43" t="n"/>
    </row>
    <row r="285">
      <c r="A285" s="43" t="n"/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  <c r="R285" s="43" t="n"/>
      <c r="S285" s="43" t="n"/>
      <c r="T285" s="43" t="n"/>
      <c r="U285" s="43" t="n"/>
      <c r="V285" s="43" t="n"/>
      <c r="W285" s="43" t="n"/>
      <c r="X285" s="43" t="n"/>
      <c r="Y285" s="43" t="n"/>
      <c r="Z285" s="43" t="n"/>
    </row>
    <row r="286">
      <c r="A286" s="43" t="n"/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  <c r="R286" s="43" t="n"/>
      <c r="S286" s="43" t="n"/>
      <c r="T286" s="43" t="n"/>
      <c r="U286" s="43" t="n"/>
      <c r="V286" s="43" t="n"/>
      <c r="W286" s="43" t="n"/>
      <c r="X286" s="43" t="n"/>
      <c r="Y286" s="43" t="n"/>
      <c r="Z286" s="43" t="n"/>
    </row>
    <row r="287">
      <c r="A287" s="43" t="n"/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  <c r="R287" s="43" t="n"/>
      <c r="S287" s="43" t="n"/>
      <c r="T287" s="43" t="n"/>
      <c r="U287" s="43" t="n"/>
      <c r="V287" s="43" t="n"/>
      <c r="W287" s="43" t="n"/>
      <c r="X287" s="43" t="n"/>
      <c r="Y287" s="43" t="n"/>
      <c r="Z287" s="43" t="n"/>
    </row>
    <row r="288">
      <c r="A288" s="43" t="n"/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  <c r="R288" s="43" t="n"/>
      <c r="S288" s="43" t="n"/>
      <c r="T288" s="43" t="n"/>
      <c r="U288" s="43" t="n"/>
      <c r="V288" s="43" t="n"/>
      <c r="W288" s="43" t="n"/>
      <c r="X288" s="43" t="n"/>
      <c r="Y288" s="43" t="n"/>
      <c r="Z288" s="43" t="n"/>
    </row>
    <row r="289">
      <c r="A289" s="43" t="n"/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  <c r="R289" s="43" t="n"/>
      <c r="S289" s="43" t="n"/>
      <c r="T289" s="43" t="n"/>
      <c r="U289" s="43" t="n"/>
      <c r="V289" s="43" t="n"/>
      <c r="W289" s="43" t="n"/>
      <c r="X289" s="43" t="n"/>
      <c r="Y289" s="43" t="n"/>
      <c r="Z289" s="43" t="n"/>
    </row>
    <row r="290">
      <c r="A290" s="43" t="n"/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  <c r="R290" s="43" t="n"/>
      <c r="S290" s="43" t="n"/>
      <c r="T290" s="43" t="n"/>
      <c r="U290" s="43" t="n"/>
      <c r="V290" s="43" t="n"/>
      <c r="W290" s="43" t="n"/>
      <c r="X290" s="43" t="n"/>
      <c r="Y290" s="43" t="n"/>
      <c r="Z290" s="43" t="n"/>
    </row>
    <row r="291">
      <c r="A291" s="43" t="n"/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  <c r="R291" s="43" t="n"/>
      <c r="S291" s="43" t="n"/>
      <c r="T291" s="43" t="n"/>
      <c r="U291" s="43" t="n"/>
      <c r="V291" s="43" t="n"/>
      <c r="W291" s="43" t="n"/>
      <c r="X291" s="43" t="n"/>
      <c r="Y291" s="43" t="n"/>
      <c r="Z291" s="43" t="n"/>
    </row>
    <row r="292">
      <c r="A292" s="43" t="n"/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  <c r="R292" s="43" t="n"/>
      <c r="S292" s="43" t="n"/>
      <c r="T292" s="43" t="n"/>
      <c r="U292" s="43" t="n"/>
      <c r="V292" s="43" t="n"/>
      <c r="W292" s="43" t="n"/>
      <c r="X292" s="43" t="n"/>
      <c r="Y292" s="43" t="n"/>
      <c r="Z292" s="43" t="n"/>
    </row>
    <row r="293">
      <c r="A293" s="43" t="n"/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  <c r="R293" s="43" t="n"/>
      <c r="S293" s="43" t="n"/>
      <c r="T293" s="43" t="n"/>
      <c r="U293" s="43" t="n"/>
      <c r="V293" s="43" t="n"/>
      <c r="W293" s="43" t="n"/>
      <c r="X293" s="43" t="n"/>
      <c r="Y293" s="43" t="n"/>
      <c r="Z293" s="43" t="n"/>
    </row>
    <row r="294">
      <c r="A294" s="43" t="n"/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  <c r="R294" s="43" t="n"/>
      <c r="S294" s="43" t="n"/>
      <c r="T294" s="43" t="n"/>
      <c r="U294" s="43" t="n"/>
      <c r="V294" s="43" t="n"/>
      <c r="W294" s="43" t="n"/>
      <c r="X294" s="43" t="n"/>
      <c r="Y294" s="43" t="n"/>
      <c r="Z294" s="43" t="n"/>
    </row>
    <row r="295">
      <c r="A295" s="43" t="n"/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  <c r="R295" s="43" t="n"/>
      <c r="S295" s="43" t="n"/>
      <c r="T295" s="43" t="n"/>
      <c r="U295" s="43" t="n"/>
      <c r="V295" s="43" t="n"/>
      <c r="W295" s="43" t="n"/>
      <c r="X295" s="43" t="n"/>
      <c r="Y295" s="43" t="n"/>
      <c r="Z295" s="43" t="n"/>
    </row>
    <row r="296">
      <c r="A296" s="43" t="n"/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  <c r="R296" s="43" t="n"/>
      <c r="S296" s="43" t="n"/>
      <c r="T296" s="43" t="n"/>
      <c r="U296" s="43" t="n"/>
      <c r="V296" s="43" t="n"/>
      <c r="W296" s="43" t="n"/>
      <c r="X296" s="43" t="n"/>
      <c r="Y296" s="43" t="n"/>
      <c r="Z296" s="43" t="n"/>
    </row>
    <row r="297">
      <c r="A297" s="43" t="n"/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  <c r="R297" s="43" t="n"/>
      <c r="S297" s="43" t="n"/>
      <c r="T297" s="43" t="n"/>
      <c r="U297" s="43" t="n"/>
      <c r="V297" s="43" t="n"/>
      <c r="W297" s="43" t="n"/>
      <c r="X297" s="43" t="n"/>
      <c r="Y297" s="43" t="n"/>
      <c r="Z297" s="43" t="n"/>
    </row>
    <row r="298">
      <c r="A298" s="43" t="n"/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</row>
    <row r="299">
      <c r="A299" s="43" t="n"/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  <c r="R299" s="43" t="n"/>
      <c r="S299" s="43" t="n"/>
      <c r="T299" s="43" t="n"/>
      <c r="U299" s="43" t="n"/>
      <c r="V299" s="43" t="n"/>
      <c r="W299" s="43" t="n"/>
      <c r="X299" s="43" t="n"/>
      <c r="Y299" s="43" t="n"/>
      <c r="Z299" s="43" t="n"/>
    </row>
    <row r="300">
      <c r="A300" s="43" t="n"/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  <c r="R300" s="43" t="n"/>
      <c r="S300" s="43" t="n"/>
      <c r="T300" s="43" t="n"/>
      <c r="U300" s="43" t="n"/>
      <c r="V300" s="43" t="n"/>
      <c r="W300" s="43" t="n"/>
      <c r="X300" s="43" t="n"/>
      <c r="Y300" s="43" t="n"/>
      <c r="Z300" s="43" t="n"/>
    </row>
    <row r="301">
      <c r="A301" s="43" t="n"/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  <c r="R301" s="43" t="n"/>
      <c r="S301" s="43" t="n"/>
      <c r="T301" s="43" t="n"/>
      <c r="U301" s="43" t="n"/>
      <c r="V301" s="43" t="n"/>
      <c r="W301" s="43" t="n"/>
      <c r="X301" s="43" t="n"/>
      <c r="Y301" s="43" t="n"/>
      <c r="Z301" s="43" t="n"/>
    </row>
    <row r="302">
      <c r="A302" s="43" t="n"/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  <c r="R302" s="43" t="n"/>
      <c r="S302" s="43" t="n"/>
      <c r="T302" s="43" t="n"/>
      <c r="U302" s="43" t="n"/>
      <c r="V302" s="43" t="n"/>
      <c r="W302" s="43" t="n"/>
      <c r="X302" s="43" t="n"/>
      <c r="Y302" s="43" t="n"/>
      <c r="Z302" s="43" t="n"/>
    </row>
    <row r="303">
      <c r="A303" s="43" t="n"/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  <c r="R303" s="43" t="n"/>
      <c r="S303" s="43" t="n"/>
      <c r="T303" s="43" t="n"/>
      <c r="U303" s="43" t="n"/>
      <c r="V303" s="43" t="n"/>
      <c r="W303" s="43" t="n"/>
      <c r="X303" s="43" t="n"/>
      <c r="Y303" s="43" t="n"/>
      <c r="Z303" s="43" t="n"/>
    </row>
    <row r="304">
      <c r="A304" s="43" t="n"/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  <c r="R304" s="43" t="n"/>
      <c r="S304" s="43" t="n"/>
      <c r="T304" s="43" t="n"/>
      <c r="U304" s="43" t="n"/>
      <c r="V304" s="43" t="n"/>
      <c r="W304" s="43" t="n"/>
      <c r="X304" s="43" t="n"/>
      <c r="Y304" s="43" t="n"/>
      <c r="Z304" s="43" t="n"/>
    </row>
    <row r="305">
      <c r="A305" s="43" t="n"/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  <c r="R305" s="43" t="n"/>
      <c r="S305" s="43" t="n"/>
      <c r="T305" s="43" t="n"/>
      <c r="U305" s="43" t="n"/>
      <c r="V305" s="43" t="n"/>
      <c r="W305" s="43" t="n"/>
      <c r="X305" s="43" t="n"/>
      <c r="Y305" s="43" t="n"/>
      <c r="Z305" s="43" t="n"/>
    </row>
    <row r="306">
      <c r="A306" s="43" t="n"/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</row>
    <row r="307">
      <c r="A307" s="43" t="n"/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  <c r="R307" s="43" t="n"/>
      <c r="S307" s="43" t="n"/>
      <c r="T307" s="43" t="n"/>
      <c r="U307" s="43" t="n"/>
      <c r="V307" s="43" t="n"/>
      <c r="W307" s="43" t="n"/>
      <c r="X307" s="43" t="n"/>
      <c r="Y307" s="43" t="n"/>
      <c r="Z307" s="43" t="n"/>
    </row>
    <row r="308">
      <c r="A308" s="43" t="n"/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  <c r="R308" s="43" t="n"/>
      <c r="S308" s="43" t="n"/>
      <c r="T308" s="43" t="n"/>
      <c r="U308" s="43" t="n"/>
      <c r="V308" s="43" t="n"/>
      <c r="W308" s="43" t="n"/>
      <c r="X308" s="43" t="n"/>
      <c r="Y308" s="43" t="n"/>
      <c r="Z308" s="43" t="n"/>
    </row>
    <row r="309">
      <c r="A309" s="43" t="n"/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  <c r="R309" s="43" t="n"/>
      <c r="S309" s="43" t="n"/>
      <c r="T309" s="43" t="n"/>
      <c r="U309" s="43" t="n"/>
      <c r="V309" s="43" t="n"/>
      <c r="W309" s="43" t="n"/>
      <c r="X309" s="43" t="n"/>
      <c r="Y309" s="43" t="n"/>
      <c r="Z309" s="43" t="n"/>
    </row>
    <row r="310">
      <c r="A310" s="43" t="n"/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  <c r="R310" s="43" t="n"/>
      <c r="S310" s="43" t="n"/>
      <c r="T310" s="43" t="n"/>
      <c r="U310" s="43" t="n"/>
      <c r="V310" s="43" t="n"/>
      <c r="W310" s="43" t="n"/>
      <c r="X310" s="43" t="n"/>
      <c r="Y310" s="43" t="n"/>
      <c r="Z310" s="43" t="n"/>
    </row>
    <row r="311">
      <c r="A311" s="43" t="n"/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</row>
    <row r="312">
      <c r="A312" s="43" t="n"/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  <c r="R312" s="43" t="n"/>
      <c r="S312" s="43" t="n"/>
      <c r="T312" s="43" t="n"/>
      <c r="U312" s="43" t="n"/>
      <c r="V312" s="43" t="n"/>
      <c r="W312" s="43" t="n"/>
      <c r="X312" s="43" t="n"/>
      <c r="Y312" s="43" t="n"/>
      <c r="Z312" s="43" t="n"/>
    </row>
    <row r="313">
      <c r="A313" s="43" t="n"/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  <c r="R313" s="43" t="n"/>
      <c r="S313" s="43" t="n"/>
      <c r="T313" s="43" t="n"/>
      <c r="U313" s="43" t="n"/>
      <c r="V313" s="43" t="n"/>
      <c r="W313" s="43" t="n"/>
      <c r="X313" s="43" t="n"/>
      <c r="Y313" s="43" t="n"/>
      <c r="Z313" s="43" t="n"/>
    </row>
    <row r="314">
      <c r="A314" s="43" t="n"/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  <c r="R314" s="43" t="n"/>
      <c r="S314" s="43" t="n"/>
      <c r="T314" s="43" t="n"/>
      <c r="U314" s="43" t="n"/>
      <c r="V314" s="43" t="n"/>
      <c r="W314" s="43" t="n"/>
      <c r="X314" s="43" t="n"/>
      <c r="Y314" s="43" t="n"/>
      <c r="Z314" s="43" t="n"/>
    </row>
    <row r="315">
      <c r="A315" s="43" t="n"/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  <c r="R315" s="43" t="n"/>
      <c r="S315" s="43" t="n"/>
      <c r="T315" s="43" t="n"/>
      <c r="U315" s="43" t="n"/>
      <c r="V315" s="43" t="n"/>
      <c r="W315" s="43" t="n"/>
      <c r="X315" s="43" t="n"/>
      <c r="Y315" s="43" t="n"/>
      <c r="Z315" s="43" t="n"/>
    </row>
    <row r="316">
      <c r="A316" s="43" t="n"/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</row>
    <row r="317">
      <c r="A317" s="43" t="n"/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  <c r="R317" s="43" t="n"/>
      <c r="S317" s="43" t="n"/>
      <c r="T317" s="43" t="n"/>
      <c r="U317" s="43" t="n"/>
      <c r="V317" s="43" t="n"/>
      <c r="W317" s="43" t="n"/>
      <c r="X317" s="43" t="n"/>
      <c r="Y317" s="43" t="n"/>
      <c r="Z317" s="43" t="n"/>
    </row>
    <row r="318">
      <c r="A318" s="43" t="n"/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  <c r="R318" s="43" t="n"/>
      <c r="S318" s="43" t="n"/>
      <c r="T318" s="43" t="n"/>
      <c r="U318" s="43" t="n"/>
      <c r="V318" s="43" t="n"/>
      <c r="W318" s="43" t="n"/>
      <c r="X318" s="43" t="n"/>
      <c r="Y318" s="43" t="n"/>
      <c r="Z318" s="43" t="n"/>
    </row>
    <row r="319">
      <c r="A319" s="43" t="n"/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</row>
    <row r="320">
      <c r="A320" s="43" t="n"/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  <c r="R320" s="43" t="n"/>
      <c r="S320" s="43" t="n"/>
      <c r="T320" s="43" t="n"/>
      <c r="U320" s="43" t="n"/>
      <c r="V320" s="43" t="n"/>
      <c r="W320" s="43" t="n"/>
      <c r="X320" s="43" t="n"/>
      <c r="Y320" s="43" t="n"/>
      <c r="Z320" s="43" t="n"/>
    </row>
    <row r="321">
      <c r="A321" s="43" t="n"/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  <c r="R321" s="43" t="n"/>
      <c r="S321" s="43" t="n"/>
      <c r="T321" s="43" t="n"/>
      <c r="U321" s="43" t="n"/>
      <c r="V321" s="43" t="n"/>
      <c r="W321" s="43" t="n"/>
      <c r="X321" s="43" t="n"/>
      <c r="Y321" s="43" t="n"/>
      <c r="Z321" s="43" t="n"/>
    </row>
    <row r="322">
      <c r="A322" s="43" t="n"/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  <c r="R322" s="43" t="n"/>
      <c r="S322" s="43" t="n"/>
      <c r="T322" s="43" t="n"/>
      <c r="U322" s="43" t="n"/>
      <c r="V322" s="43" t="n"/>
      <c r="W322" s="43" t="n"/>
      <c r="X322" s="43" t="n"/>
      <c r="Y322" s="43" t="n"/>
      <c r="Z322" s="43" t="n"/>
    </row>
    <row r="323">
      <c r="A323" s="43" t="n"/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  <c r="R323" s="43" t="n"/>
      <c r="S323" s="43" t="n"/>
      <c r="T323" s="43" t="n"/>
      <c r="U323" s="43" t="n"/>
      <c r="V323" s="43" t="n"/>
      <c r="W323" s="43" t="n"/>
      <c r="X323" s="43" t="n"/>
      <c r="Y323" s="43" t="n"/>
      <c r="Z323" s="43" t="n"/>
    </row>
    <row r="324">
      <c r="A324" s="43" t="n"/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  <c r="R324" s="43" t="n"/>
      <c r="S324" s="43" t="n"/>
      <c r="T324" s="43" t="n"/>
      <c r="U324" s="43" t="n"/>
      <c r="V324" s="43" t="n"/>
      <c r="W324" s="43" t="n"/>
      <c r="X324" s="43" t="n"/>
      <c r="Y324" s="43" t="n"/>
      <c r="Z324" s="43" t="n"/>
    </row>
    <row r="325">
      <c r="A325" s="43" t="n"/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  <c r="R325" s="43" t="n"/>
      <c r="S325" s="43" t="n"/>
      <c r="T325" s="43" t="n"/>
      <c r="U325" s="43" t="n"/>
      <c r="V325" s="43" t="n"/>
      <c r="W325" s="43" t="n"/>
      <c r="X325" s="43" t="n"/>
      <c r="Y325" s="43" t="n"/>
      <c r="Z325" s="43" t="n"/>
    </row>
    <row r="326">
      <c r="A326" s="43" t="n"/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  <c r="R326" s="43" t="n"/>
      <c r="S326" s="43" t="n"/>
      <c r="T326" s="43" t="n"/>
      <c r="U326" s="43" t="n"/>
      <c r="V326" s="43" t="n"/>
      <c r="W326" s="43" t="n"/>
      <c r="X326" s="43" t="n"/>
      <c r="Y326" s="43" t="n"/>
      <c r="Z326" s="43" t="n"/>
    </row>
    <row r="327">
      <c r="A327" s="43" t="n"/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  <c r="R327" s="43" t="n"/>
      <c r="S327" s="43" t="n"/>
      <c r="T327" s="43" t="n"/>
      <c r="U327" s="43" t="n"/>
      <c r="V327" s="43" t="n"/>
      <c r="W327" s="43" t="n"/>
      <c r="X327" s="43" t="n"/>
      <c r="Y327" s="43" t="n"/>
      <c r="Z327" s="43" t="n"/>
    </row>
    <row r="328">
      <c r="A328" s="43" t="n"/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  <c r="R328" s="43" t="n"/>
      <c r="S328" s="43" t="n"/>
      <c r="T328" s="43" t="n"/>
      <c r="U328" s="43" t="n"/>
      <c r="V328" s="43" t="n"/>
      <c r="W328" s="43" t="n"/>
      <c r="X328" s="43" t="n"/>
      <c r="Y328" s="43" t="n"/>
      <c r="Z328" s="43" t="n"/>
    </row>
    <row r="329">
      <c r="A329" s="43" t="n"/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  <c r="R329" s="43" t="n"/>
      <c r="S329" s="43" t="n"/>
      <c r="T329" s="43" t="n"/>
      <c r="U329" s="43" t="n"/>
      <c r="V329" s="43" t="n"/>
      <c r="W329" s="43" t="n"/>
      <c r="X329" s="43" t="n"/>
      <c r="Y329" s="43" t="n"/>
      <c r="Z329" s="43" t="n"/>
    </row>
    <row r="330">
      <c r="A330" s="43" t="n"/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  <c r="R330" s="43" t="n"/>
      <c r="S330" s="43" t="n"/>
      <c r="T330" s="43" t="n"/>
      <c r="U330" s="43" t="n"/>
      <c r="V330" s="43" t="n"/>
      <c r="W330" s="43" t="n"/>
      <c r="X330" s="43" t="n"/>
      <c r="Y330" s="43" t="n"/>
      <c r="Z330" s="43" t="n"/>
    </row>
    <row r="331">
      <c r="A331" s="43" t="n"/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  <c r="R331" s="43" t="n"/>
      <c r="S331" s="43" t="n"/>
      <c r="T331" s="43" t="n"/>
      <c r="U331" s="43" t="n"/>
      <c r="V331" s="43" t="n"/>
      <c r="W331" s="43" t="n"/>
      <c r="X331" s="43" t="n"/>
      <c r="Y331" s="43" t="n"/>
      <c r="Z331" s="43" t="n"/>
    </row>
    <row r="332">
      <c r="A332" s="43" t="n"/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</row>
    <row r="333">
      <c r="A333" s="43" t="n"/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  <c r="R333" s="43" t="n"/>
      <c r="S333" s="43" t="n"/>
      <c r="T333" s="43" t="n"/>
      <c r="U333" s="43" t="n"/>
      <c r="V333" s="43" t="n"/>
      <c r="W333" s="43" t="n"/>
      <c r="X333" s="43" t="n"/>
      <c r="Y333" s="43" t="n"/>
      <c r="Z333" s="43" t="n"/>
    </row>
    <row r="334">
      <c r="A334" s="43" t="n"/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  <c r="R334" s="43" t="n"/>
      <c r="S334" s="43" t="n"/>
      <c r="T334" s="43" t="n"/>
      <c r="U334" s="43" t="n"/>
      <c r="V334" s="43" t="n"/>
      <c r="W334" s="43" t="n"/>
      <c r="X334" s="43" t="n"/>
      <c r="Y334" s="43" t="n"/>
      <c r="Z334" s="43" t="n"/>
    </row>
    <row r="335">
      <c r="A335" s="43" t="n"/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</row>
    <row r="336">
      <c r="A336" s="43" t="n"/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  <c r="R336" s="43" t="n"/>
      <c r="S336" s="43" t="n"/>
      <c r="T336" s="43" t="n"/>
      <c r="U336" s="43" t="n"/>
      <c r="V336" s="43" t="n"/>
      <c r="W336" s="43" t="n"/>
      <c r="X336" s="43" t="n"/>
      <c r="Y336" s="43" t="n"/>
      <c r="Z336" s="43" t="n"/>
    </row>
    <row r="337">
      <c r="A337" s="43" t="n"/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  <c r="R337" s="43" t="n"/>
      <c r="S337" s="43" t="n"/>
      <c r="T337" s="43" t="n"/>
      <c r="U337" s="43" t="n"/>
      <c r="V337" s="43" t="n"/>
      <c r="W337" s="43" t="n"/>
      <c r="X337" s="43" t="n"/>
      <c r="Y337" s="43" t="n"/>
      <c r="Z337" s="43" t="n"/>
    </row>
    <row r="338">
      <c r="A338" s="43" t="n"/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</row>
    <row r="339">
      <c r="A339" s="43" t="n"/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  <c r="R339" s="43" t="n"/>
      <c r="S339" s="43" t="n"/>
      <c r="T339" s="43" t="n"/>
      <c r="U339" s="43" t="n"/>
      <c r="V339" s="43" t="n"/>
      <c r="W339" s="43" t="n"/>
      <c r="X339" s="43" t="n"/>
      <c r="Y339" s="43" t="n"/>
      <c r="Z339" s="43" t="n"/>
    </row>
    <row r="340">
      <c r="A340" s="43" t="n"/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  <c r="R340" s="43" t="n"/>
      <c r="S340" s="43" t="n"/>
      <c r="T340" s="43" t="n"/>
      <c r="U340" s="43" t="n"/>
      <c r="V340" s="43" t="n"/>
      <c r="W340" s="43" t="n"/>
      <c r="X340" s="43" t="n"/>
      <c r="Y340" s="43" t="n"/>
      <c r="Z340" s="43" t="n"/>
    </row>
    <row r="341">
      <c r="A341" s="43" t="n"/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  <c r="R341" s="43" t="n"/>
      <c r="S341" s="43" t="n"/>
      <c r="T341" s="43" t="n"/>
      <c r="U341" s="43" t="n"/>
      <c r="V341" s="43" t="n"/>
      <c r="W341" s="43" t="n"/>
      <c r="X341" s="43" t="n"/>
      <c r="Y341" s="43" t="n"/>
      <c r="Z341" s="43" t="n"/>
    </row>
    <row r="342">
      <c r="A342" s="43" t="n"/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  <c r="R342" s="43" t="n"/>
      <c r="S342" s="43" t="n"/>
      <c r="T342" s="43" t="n"/>
      <c r="U342" s="43" t="n"/>
      <c r="V342" s="43" t="n"/>
      <c r="W342" s="43" t="n"/>
      <c r="X342" s="43" t="n"/>
      <c r="Y342" s="43" t="n"/>
      <c r="Z342" s="43" t="n"/>
    </row>
    <row r="343">
      <c r="A343" s="43" t="n"/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  <c r="R343" s="43" t="n"/>
      <c r="S343" s="43" t="n"/>
      <c r="T343" s="43" t="n"/>
      <c r="U343" s="43" t="n"/>
      <c r="V343" s="43" t="n"/>
      <c r="W343" s="43" t="n"/>
      <c r="X343" s="43" t="n"/>
      <c r="Y343" s="43" t="n"/>
      <c r="Z343" s="43" t="n"/>
    </row>
    <row r="344">
      <c r="A344" s="43" t="n"/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  <c r="R344" s="43" t="n"/>
      <c r="S344" s="43" t="n"/>
      <c r="T344" s="43" t="n"/>
      <c r="U344" s="43" t="n"/>
      <c r="V344" s="43" t="n"/>
      <c r="W344" s="43" t="n"/>
      <c r="X344" s="43" t="n"/>
      <c r="Y344" s="43" t="n"/>
      <c r="Z344" s="43" t="n"/>
    </row>
    <row r="345">
      <c r="A345" s="43" t="n"/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  <c r="R345" s="43" t="n"/>
      <c r="S345" s="43" t="n"/>
      <c r="T345" s="43" t="n"/>
      <c r="U345" s="43" t="n"/>
      <c r="V345" s="43" t="n"/>
      <c r="W345" s="43" t="n"/>
      <c r="X345" s="43" t="n"/>
      <c r="Y345" s="43" t="n"/>
      <c r="Z345" s="43" t="n"/>
    </row>
    <row r="346">
      <c r="A346" s="43" t="n"/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  <c r="R346" s="43" t="n"/>
      <c r="S346" s="43" t="n"/>
      <c r="T346" s="43" t="n"/>
      <c r="U346" s="43" t="n"/>
      <c r="V346" s="43" t="n"/>
      <c r="W346" s="43" t="n"/>
      <c r="X346" s="43" t="n"/>
      <c r="Y346" s="43" t="n"/>
      <c r="Z346" s="43" t="n"/>
    </row>
    <row r="347">
      <c r="A347" s="43" t="n"/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  <c r="R347" s="43" t="n"/>
      <c r="S347" s="43" t="n"/>
      <c r="T347" s="43" t="n"/>
      <c r="U347" s="43" t="n"/>
      <c r="V347" s="43" t="n"/>
      <c r="W347" s="43" t="n"/>
      <c r="X347" s="43" t="n"/>
      <c r="Y347" s="43" t="n"/>
      <c r="Z347" s="43" t="n"/>
    </row>
    <row r="348">
      <c r="A348" s="43" t="n"/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  <c r="R348" s="43" t="n"/>
      <c r="S348" s="43" t="n"/>
      <c r="T348" s="43" t="n"/>
      <c r="U348" s="43" t="n"/>
      <c r="V348" s="43" t="n"/>
      <c r="W348" s="43" t="n"/>
      <c r="X348" s="43" t="n"/>
      <c r="Y348" s="43" t="n"/>
      <c r="Z348" s="43" t="n"/>
    </row>
    <row r="349">
      <c r="A349" s="43" t="n"/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  <c r="R349" s="43" t="n"/>
      <c r="S349" s="43" t="n"/>
      <c r="T349" s="43" t="n"/>
      <c r="U349" s="43" t="n"/>
      <c r="V349" s="43" t="n"/>
      <c r="W349" s="43" t="n"/>
      <c r="X349" s="43" t="n"/>
      <c r="Y349" s="43" t="n"/>
      <c r="Z349" s="43" t="n"/>
    </row>
    <row r="350">
      <c r="A350" s="43" t="n"/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  <c r="R350" s="43" t="n"/>
      <c r="S350" s="43" t="n"/>
      <c r="T350" s="43" t="n"/>
      <c r="U350" s="43" t="n"/>
      <c r="V350" s="43" t="n"/>
      <c r="W350" s="43" t="n"/>
      <c r="X350" s="43" t="n"/>
      <c r="Y350" s="43" t="n"/>
      <c r="Z350" s="43" t="n"/>
    </row>
    <row r="351">
      <c r="A351" s="43" t="n"/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  <c r="R351" s="43" t="n"/>
      <c r="S351" s="43" t="n"/>
      <c r="T351" s="43" t="n"/>
      <c r="U351" s="43" t="n"/>
      <c r="V351" s="43" t="n"/>
      <c r="W351" s="43" t="n"/>
      <c r="X351" s="43" t="n"/>
      <c r="Y351" s="43" t="n"/>
      <c r="Z351" s="43" t="n"/>
    </row>
    <row r="352">
      <c r="A352" s="43" t="n"/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  <c r="R352" s="43" t="n"/>
      <c r="S352" s="43" t="n"/>
      <c r="T352" s="43" t="n"/>
      <c r="U352" s="43" t="n"/>
      <c r="V352" s="43" t="n"/>
      <c r="W352" s="43" t="n"/>
      <c r="X352" s="43" t="n"/>
      <c r="Y352" s="43" t="n"/>
      <c r="Z352" s="43" t="n"/>
    </row>
    <row r="353">
      <c r="A353" s="43" t="n"/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  <c r="R353" s="43" t="n"/>
      <c r="S353" s="43" t="n"/>
      <c r="T353" s="43" t="n"/>
      <c r="U353" s="43" t="n"/>
      <c r="V353" s="43" t="n"/>
      <c r="W353" s="43" t="n"/>
      <c r="X353" s="43" t="n"/>
      <c r="Y353" s="43" t="n"/>
      <c r="Z353" s="43" t="n"/>
    </row>
    <row r="354">
      <c r="A354" s="43" t="n"/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  <c r="R354" s="43" t="n"/>
      <c r="S354" s="43" t="n"/>
      <c r="T354" s="43" t="n"/>
      <c r="U354" s="43" t="n"/>
      <c r="V354" s="43" t="n"/>
      <c r="W354" s="43" t="n"/>
      <c r="X354" s="43" t="n"/>
      <c r="Y354" s="43" t="n"/>
      <c r="Z354" s="43" t="n"/>
    </row>
    <row r="355">
      <c r="A355" s="43" t="n"/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  <c r="R355" s="43" t="n"/>
      <c r="S355" s="43" t="n"/>
      <c r="T355" s="43" t="n"/>
      <c r="U355" s="43" t="n"/>
      <c r="V355" s="43" t="n"/>
      <c r="W355" s="43" t="n"/>
      <c r="X355" s="43" t="n"/>
      <c r="Y355" s="43" t="n"/>
      <c r="Z355" s="43" t="n"/>
    </row>
    <row r="356">
      <c r="A356" s="43" t="n"/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  <c r="R356" s="43" t="n"/>
      <c r="S356" s="43" t="n"/>
      <c r="T356" s="43" t="n"/>
      <c r="U356" s="43" t="n"/>
      <c r="V356" s="43" t="n"/>
      <c r="W356" s="43" t="n"/>
      <c r="X356" s="43" t="n"/>
      <c r="Y356" s="43" t="n"/>
      <c r="Z356" s="43" t="n"/>
    </row>
    <row r="357">
      <c r="A357" s="43" t="n"/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  <c r="R357" s="43" t="n"/>
      <c r="S357" s="43" t="n"/>
      <c r="T357" s="43" t="n"/>
      <c r="U357" s="43" t="n"/>
      <c r="V357" s="43" t="n"/>
      <c r="W357" s="43" t="n"/>
      <c r="X357" s="43" t="n"/>
      <c r="Y357" s="43" t="n"/>
      <c r="Z357" s="43" t="n"/>
    </row>
    <row r="358">
      <c r="A358" s="43" t="n"/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  <c r="R358" s="43" t="n"/>
      <c r="S358" s="43" t="n"/>
      <c r="T358" s="43" t="n"/>
      <c r="U358" s="43" t="n"/>
      <c r="V358" s="43" t="n"/>
      <c r="W358" s="43" t="n"/>
      <c r="X358" s="43" t="n"/>
      <c r="Y358" s="43" t="n"/>
      <c r="Z358" s="43" t="n"/>
    </row>
    <row r="359">
      <c r="A359" s="43" t="n"/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  <c r="R359" s="43" t="n"/>
      <c r="S359" s="43" t="n"/>
      <c r="T359" s="43" t="n"/>
      <c r="U359" s="43" t="n"/>
      <c r="V359" s="43" t="n"/>
      <c r="W359" s="43" t="n"/>
      <c r="X359" s="43" t="n"/>
      <c r="Y359" s="43" t="n"/>
      <c r="Z359" s="43" t="n"/>
    </row>
    <row r="360">
      <c r="A360" s="43" t="n"/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  <c r="R360" s="43" t="n"/>
      <c r="S360" s="43" t="n"/>
      <c r="T360" s="43" t="n"/>
      <c r="U360" s="43" t="n"/>
      <c r="V360" s="43" t="n"/>
      <c r="W360" s="43" t="n"/>
      <c r="X360" s="43" t="n"/>
      <c r="Y360" s="43" t="n"/>
      <c r="Z360" s="43" t="n"/>
    </row>
    <row r="361">
      <c r="A361" s="43" t="n"/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  <c r="R361" s="43" t="n"/>
      <c r="S361" s="43" t="n"/>
      <c r="T361" s="43" t="n"/>
      <c r="U361" s="43" t="n"/>
      <c r="V361" s="43" t="n"/>
      <c r="W361" s="43" t="n"/>
      <c r="X361" s="43" t="n"/>
      <c r="Y361" s="43" t="n"/>
      <c r="Z361" s="43" t="n"/>
    </row>
    <row r="362">
      <c r="A362" s="43" t="n"/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  <c r="R362" s="43" t="n"/>
      <c r="S362" s="43" t="n"/>
      <c r="T362" s="43" t="n"/>
      <c r="U362" s="43" t="n"/>
      <c r="V362" s="43" t="n"/>
      <c r="W362" s="43" t="n"/>
      <c r="X362" s="43" t="n"/>
      <c r="Y362" s="43" t="n"/>
      <c r="Z362" s="43" t="n"/>
    </row>
    <row r="363">
      <c r="A363" s="43" t="n"/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  <c r="R363" s="43" t="n"/>
      <c r="S363" s="43" t="n"/>
      <c r="T363" s="43" t="n"/>
      <c r="U363" s="43" t="n"/>
      <c r="V363" s="43" t="n"/>
      <c r="W363" s="43" t="n"/>
      <c r="X363" s="43" t="n"/>
      <c r="Y363" s="43" t="n"/>
      <c r="Z363" s="43" t="n"/>
    </row>
    <row r="364">
      <c r="A364" s="43" t="n"/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  <c r="R364" s="43" t="n"/>
      <c r="S364" s="43" t="n"/>
      <c r="T364" s="43" t="n"/>
      <c r="U364" s="43" t="n"/>
      <c r="V364" s="43" t="n"/>
      <c r="W364" s="43" t="n"/>
      <c r="X364" s="43" t="n"/>
      <c r="Y364" s="43" t="n"/>
      <c r="Z364" s="43" t="n"/>
    </row>
    <row r="365">
      <c r="A365" s="43" t="n"/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  <c r="R365" s="43" t="n"/>
      <c r="S365" s="43" t="n"/>
      <c r="T365" s="43" t="n"/>
      <c r="U365" s="43" t="n"/>
      <c r="V365" s="43" t="n"/>
      <c r="W365" s="43" t="n"/>
      <c r="X365" s="43" t="n"/>
      <c r="Y365" s="43" t="n"/>
      <c r="Z365" s="43" t="n"/>
    </row>
    <row r="366">
      <c r="A366" s="43" t="n"/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  <c r="R366" s="43" t="n"/>
      <c r="S366" s="43" t="n"/>
      <c r="T366" s="43" t="n"/>
      <c r="U366" s="43" t="n"/>
      <c r="V366" s="43" t="n"/>
      <c r="W366" s="43" t="n"/>
      <c r="X366" s="43" t="n"/>
      <c r="Y366" s="43" t="n"/>
      <c r="Z366" s="43" t="n"/>
    </row>
    <row r="367">
      <c r="A367" s="43" t="n"/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  <c r="R367" s="43" t="n"/>
      <c r="S367" s="43" t="n"/>
      <c r="T367" s="43" t="n"/>
      <c r="U367" s="43" t="n"/>
      <c r="V367" s="43" t="n"/>
      <c r="W367" s="43" t="n"/>
      <c r="X367" s="43" t="n"/>
      <c r="Y367" s="43" t="n"/>
      <c r="Z367" s="43" t="n"/>
    </row>
    <row r="368">
      <c r="A368" s="43" t="n"/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  <c r="R368" s="43" t="n"/>
      <c r="S368" s="43" t="n"/>
      <c r="T368" s="43" t="n"/>
      <c r="U368" s="43" t="n"/>
      <c r="V368" s="43" t="n"/>
      <c r="W368" s="43" t="n"/>
      <c r="X368" s="43" t="n"/>
      <c r="Y368" s="43" t="n"/>
      <c r="Z368" s="43" t="n"/>
    </row>
    <row r="369">
      <c r="A369" s="43" t="n"/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  <c r="R369" s="43" t="n"/>
      <c r="S369" s="43" t="n"/>
      <c r="T369" s="43" t="n"/>
      <c r="U369" s="43" t="n"/>
      <c r="V369" s="43" t="n"/>
      <c r="W369" s="43" t="n"/>
      <c r="X369" s="43" t="n"/>
      <c r="Y369" s="43" t="n"/>
      <c r="Z369" s="43" t="n"/>
    </row>
    <row r="370">
      <c r="A370" s="43" t="n"/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  <c r="R370" s="43" t="n"/>
      <c r="S370" s="43" t="n"/>
      <c r="T370" s="43" t="n"/>
      <c r="U370" s="43" t="n"/>
      <c r="V370" s="43" t="n"/>
      <c r="W370" s="43" t="n"/>
      <c r="X370" s="43" t="n"/>
      <c r="Y370" s="43" t="n"/>
      <c r="Z370" s="43" t="n"/>
    </row>
    <row r="371">
      <c r="A371" s="43" t="n"/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  <c r="R371" s="43" t="n"/>
      <c r="S371" s="43" t="n"/>
      <c r="T371" s="43" t="n"/>
      <c r="U371" s="43" t="n"/>
      <c r="V371" s="43" t="n"/>
      <c r="W371" s="43" t="n"/>
      <c r="X371" s="43" t="n"/>
      <c r="Y371" s="43" t="n"/>
      <c r="Z371" s="43" t="n"/>
    </row>
    <row r="372">
      <c r="A372" s="43" t="n"/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  <c r="R372" s="43" t="n"/>
      <c r="S372" s="43" t="n"/>
      <c r="T372" s="43" t="n"/>
      <c r="U372" s="43" t="n"/>
      <c r="V372" s="43" t="n"/>
      <c r="W372" s="43" t="n"/>
      <c r="X372" s="43" t="n"/>
      <c r="Y372" s="43" t="n"/>
      <c r="Z372" s="43" t="n"/>
    </row>
    <row r="373">
      <c r="A373" s="43" t="n"/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  <c r="R373" s="43" t="n"/>
      <c r="S373" s="43" t="n"/>
      <c r="T373" s="43" t="n"/>
      <c r="U373" s="43" t="n"/>
      <c r="V373" s="43" t="n"/>
      <c r="W373" s="43" t="n"/>
      <c r="X373" s="43" t="n"/>
      <c r="Y373" s="43" t="n"/>
      <c r="Z373" s="43" t="n"/>
    </row>
    <row r="374">
      <c r="A374" s="43" t="n"/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  <c r="R374" s="43" t="n"/>
      <c r="S374" s="43" t="n"/>
      <c r="T374" s="43" t="n"/>
      <c r="U374" s="43" t="n"/>
      <c r="V374" s="43" t="n"/>
      <c r="W374" s="43" t="n"/>
      <c r="X374" s="43" t="n"/>
      <c r="Y374" s="43" t="n"/>
      <c r="Z374" s="43" t="n"/>
    </row>
    <row r="375">
      <c r="A375" s="43" t="n"/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  <c r="R375" s="43" t="n"/>
      <c r="S375" s="43" t="n"/>
      <c r="T375" s="43" t="n"/>
      <c r="U375" s="43" t="n"/>
      <c r="V375" s="43" t="n"/>
      <c r="W375" s="43" t="n"/>
      <c r="X375" s="43" t="n"/>
      <c r="Y375" s="43" t="n"/>
      <c r="Z375" s="43" t="n"/>
    </row>
    <row r="376">
      <c r="A376" s="43" t="n"/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  <c r="R376" s="43" t="n"/>
      <c r="S376" s="43" t="n"/>
      <c r="T376" s="43" t="n"/>
      <c r="U376" s="43" t="n"/>
      <c r="V376" s="43" t="n"/>
      <c r="W376" s="43" t="n"/>
      <c r="X376" s="43" t="n"/>
      <c r="Y376" s="43" t="n"/>
      <c r="Z376" s="43" t="n"/>
    </row>
    <row r="377">
      <c r="A377" s="43" t="n"/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  <c r="R377" s="43" t="n"/>
      <c r="S377" s="43" t="n"/>
      <c r="T377" s="43" t="n"/>
      <c r="U377" s="43" t="n"/>
      <c r="V377" s="43" t="n"/>
      <c r="W377" s="43" t="n"/>
      <c r="X377" s="43" t="n"/>
      <c r="Y377" s="43" t="n"/>
      <c r="Z377" s="43" t="n"/>
    </row>
    <row r="378">
      <c r="A378" s="43" t="n"/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  <c r="R378" s="43" t="n"/>
      <c r="S378" s="43" t="n"/>
      <c r="T378" s="43" t="n"/>
      <c r="U378" s="43" t="n"/>
      <c r="V378" s="43" t="n"/>
      <c r="W378" s="43" t="n"/>
      <c r="X378" s="43" t="n"/>
      <c r="Y378" s="43" t="n"/>
      <c r="Z378" s="43" t="n"/>
    </row>
    <row r="379">
      <c r="A379" s="43" t="n"/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  <c r="R379" s="43" t="n"/>
      <c r="S379" s="43" t="n"/>
      <c r="T379" s="43" t="n"/>
      <c r="U379" s="43" t="n"/>
      <c r="V379" s="43" t="n"/>
      <c r="W379" s="43" t="n"/>
      <c r="X379" s="43" t="n"/>
      <c r="Y379" s="43" t="n"/>
      <c r="Z379" s="43" t="n"/>
    </row>
    <row r="380">
      <c r="A380" s="43" t="n"/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  <c r="R380" s="43" t="n"/>
      <c r="S380" s="43" t="n"/>
      <c r="T380" s="43" t="n"/>
      <c r="U380" s="43" t="n"/>
      <c r="V380" s="43" t="n"/>
      <c r="W380" s="43" t="n"/>
      <c r="X380" s="43" t="n"/>
      <c r="Y380" s="43" t="n"/>
      <c r="Z380" s="43" t="n"/>
    </row>
    <row r="381">
      <c r="A381" s="43" t="n"/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  <c r="R381" s="43" t="n"/>
      <c r="S381" s="43" t="n"/>
      <c r="T381" s="43" t="n"/>
      <c r="U381" s="43" t="n"/>
      <c r="V381" s="43" t="n"/>
      <c r="W381" s="43" t="n"/>
      <c r="X381" s="43" t="n"/>
      <c r="Y381" s="43" t="n"/>
      <c r="Z381" s="43" t="n"/>
    </row>
    <row r="382">
      <c r="A382" s="43" t="n"/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  <c r="R382" s="43" t="n"/>
      <c r="S382" s="43" t="n"/>
      <c r="T382" s="43" t="n"/>
      <c r="U382" s="43" t="n"/>
      <c r="V382" s="43" t="n"/>
      <c r="W382" s="43" t="n"/>
      <c r="X382" s="43" t="n"/>
      <c r="Y382" s="43" t="n"/>
      <c r="Z382" s="43" t="n"/>
    </row>
    <row r="383">
      <c r="A383" s="43" t="n"/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  <c r="R383" s="43" t="n"/>
      <c r="S383" s="43" t="n"/>
      <c r="T383" s="43" t="n"/>
      <c r="U383" s="43" t="n"/>
      <c r="V383" s="43" t="n"/>
      <c r="W383" s="43" t="n"/>
      <c r="X383" s="43" t="n"/>
      <c r="Y383" s="43" t="n"/>
      <c r="Z383" s="43" t="n"/>
    </row>
    <row r="384">
      <c r="A384" s="43" t="n"/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  <c r="R384" s="43" t="n"/>
      <c r="S384" s="43" t="n"/>
      <c r="T384" s="43" t="n"/>
      <c r="U384" s="43" t="n"/>
      <c r="V384" s="43" t="n"/>
      <c r="W384" s="43" t="n"/>
      <c r="X384" s="43" t="n"/>
      <c r="Y384" s="43" t="n"/>
      <c r="Z384" s="43" t="n"/>
    </row>
    <row r="385">
      <c r="A385" s="43" t="n"/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  <c r="R385" s="43" t="n"/>
      <c r="S385" s="43" t="n"/>
      <c r="T385" s="43" t="n"/>
      <c r="U385" s="43" t="n"/>
      <c r="V385" s="43" t="n"/>
      <c r="W385" s="43" t="n"/>
      <c r="X385" s="43" t="n"/>
      <c r="Y385" s="43" t="n"/>
      <c r="Z385" s="43" t="n"/>
    </row>
    <row r="386">
      <c r="A386" s="43" t="n"/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  <c r="R386" s="43" t="n"/>
      <c r="S386" s="43" t="n"/>
      <c r="T386" s="43" t="n"/>
      <c r="U386" s="43" t="n"/>
      <c r="V386" s="43" t="n"/>
      <c r="W386" s="43" t="n"/>
      <c r="X386" s="43" t="n"/>
      <c r="Y386" s="43" t="n"/>
      <c r="Z386" s="43" t="n"/>
    </row>
    <row r="387">
      <c r="A387" s="43" t="n"/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  <c r="R387" s="43" t="n"/>
      <c r="S387" s="43" t="n"/>
      <c r="T387" s="43" t="n"/>
      <c r="U387" s="43" t="n"/>
      <c r="V387" s="43" t="n"/>
      <c r="W387" s="43" t="n"/>
      <c r="X387" s="43" t="n"/>
      <c r="Y387" s="43" t="n"/>
      <c r="Z387" s="43" t="n"/>
    </row>
    <row r="388">
      <c r="A388" s="43" t="n"/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  <c r="R388" s="43" t="n"/>
      <c r="S388" s="43" t="n"/>
      <c r="T388" s="43" t="n"/>
      <c r="U388" s="43" t="n"/>
      <c r="V388" s="43" t="n"/>
      <c r="W388" s="43" t="n"/>
      <c r="X388" s="43" t="n"/>
      <c r="Y388" s="43" t="n"/>
      <c r="Z388" s="43" t="n"/>
    </row>
    <row r="389">
      <c r="A389" s="43" t="n"/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  <c r="R389" s="43" t="n"/>
      <c r="S389" s="43" t="n"/>
      <c r="T389" s="43" t="n"/>
      <c r="U389" s="43" t="n"/>
      <c r="V389" s="43" t="n"/>
      <c r="W389" s="43" t="n"/>
      <c r="X389" s="43" t="n"/>
      <c r="Y389" s="43" t="n"/>
      <c r="Z389" s="43" t="n"/>
    </row>
    <row r="390">
      <c r="A390" s="43" t="n"/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  <c r="R390" s="43" t="n"/>
      <c r="S390" s="43" t="n"/>
      <c r="T390" s="43" t="n"/>
      <c r="U390" s="43" t="n"/>
      <c r="V390" s="43" t="n"/>
      <c r="W390" s="43" t="n"/>
      <c r="X390" s="43" t="n"/>
      <c r="Y390" s="43" t="n"/>
      <c r="Z390" s="43" t="n"/>
    </row>
    <row r="391">
      <c r="A391" s="43" t="n"/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  <c r="R391" s="43" t="n"/>
      <c r="S391" s="43" t="n"/>
      <c r="T391" s="43" t="n"/>
      <c r="U391" s="43" t="n"/>
      <c r="V391" s="43" t="n"/>
      <c r="W391" s="43" t="n"/>
      <c r="X391" s="43" t="n"/>
      <c r="Y391" s="43" t="n"/>
      <c r="Z391" s="43" t="n"/>
    </row>
    <row r="392">
      <c r="A392" s="43" t="n"/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  <c r="R392" s="43" t="n"/>
      <c r="S392" s="43" t="n"/>
      <c r="T392" s="43" t="n"/>
      <c r="U392" s="43" t="n"/>
      <c r="V392" s="43" t="n"/>
      <c r="W392" s="43" t="n"/>
      <c r="X392" s="43" t="n"/>
      <c r="Y392" s="43" t="n"/>
      <c r="Z392" s="43" t="n"/>
    </row>
    <row r="393">
      <c r="A393" s="43" t="n"/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  <c r="R393" s="43" t="n"/>
      <c r="S393" s="43" t="n"/>
      <c r="T393" s="43" t="n"/>
      <c r="U393" s="43" t="n"/>
      <c r="V393" s="43" t="n"/>
      <c r="W393" s="43" t="n"/>
      <c r="X393" s="43" t="n"/>
      <c r="Y393" s="43" t="n"/>
      <c r="Z393" s="43" t="n"/>
    </row>
    <row r="394">
      <c r="A394" s="43" t="n"/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  <c r="R394" s="43" t="n"/>
      <c r="S394" s="43" t="n"/>
      <c r="T394" s="43" t="n"/>
      <c r="U394" s="43" t="n"/>
      <c r="V394" s="43" t="n"/>
      <c r="W394" s="43" t="n"/>
      <c r="X394" s="43" t="n"/>
      <c r="Y394" s="43" t="n"/>
      <c r="Z394" s="43" t="n"/>
    </row>
    <row r="395">
      <c r="A395" s="43" t="n"/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  <c r="R395" s="43" t="n"/>
      <c r="S395" s="43" t="n"/>
      <c r="T395" s="43" t="n"/>
      <c r="U395" s="43" t="n"/>
      <c r="V395" s="43" t="n"/>
      <c r="W395" s="43" t="n"/>
      <c r="X395" s="43" t="n"/>
      <c r="Y395" s="43" t="n"/>
      <c r="Z395" s="43" t="n"/>
    </row>
    <row r="396">
      <c r="A396" s="43" t="n"/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  <c r="R396" s="43" t="n"/>
      <c r="S396" s="43" t="n"/>
      <c r="T396" s="43" t="n"/>
      <c r="U396" s="43" t="n"/>
      <c r="V396" s="43" t="n"/>
      <c r="W396" s="43" t="n"/>
      <c r="X396" s="43" t="n"/>
      <c r="Y396" s="43" t="n"/>
      <c r="Z396" s="43" t="n"/>
    </row>
    <row r="397">
      <c r="A397" s="43" t="n"/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  <c r="R397" s="43" t="n"/>
      <c r="S397" s="43" t="n"/>
      <c r="T397" s="43" t="n"/>
      <c r="U397" s="43" t="n"/>
      <c r="V397" s="43" t="n"/>
      <c r="W397" s="43" t="n"/>
      <c r="X397" s="43" t="n"/>
      <c r="Y397" s="43" t="n"/>
      <c r="Z397" s="43" t="n"/>
    </row>
    <row r="398">
      <c r="A398" s="43" t="n"/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  <c r="R398" s="43" t="n"/>
      <c r="S398" s="43" t="n"/>
      <c r="T398" s="43" t="n"/>
      <c r="U398" s="43" t="n"/>
      <c r="V398" s="43" t="n"/>
      <c r="W398" s="43" t="n"/>
      <c r="X398" s="43" t="n"/>
      <c r="Y398" s="43" t="n"/>
      <c r="Z398" s="43" t="n"/>
    </row>
    <row r="399">
      <c r="A399" s="43" t="n"/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  <c r="R399" s="43" t="n"/>
      <c r="S399" s="43" t="n"/>
      <c r="T399" s="43" t="n"/>
      <c r="U399" s="43" t="n"/>
      <c r="V399" s="43" t="n"/>
      <c r="W399" s="43" t="n"/>
      <c r="X399" s="43" t="n"/>
      <c r="Y399" s="43" t="n"/>
      <c r="Z399" s="43" t="n"/>
    </row>
    <row r="400">
      <c r="A400" s="43" t="n"/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  <c r="R400" s="43" t="n"/>
      <c r="S400" s="43" t="n"/>
      <c r="T400" s="43" t="n"/>
      <c r="U400" s="43" t="n"/>
      <c r="V400" s="43" t="n"/>
      <c r="W400" s="43" t="n"/>
      <c r="X400" s="43" t="n"/>
      <c r="Y400" s="43" t="n"/>
      <c r="Z400" s="43" t="n"/>
    </row>
    <row r="401">
      <c r="A401" s="43" t="n"/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  <c r="R401" s="43" t="n"/>
      <c r="S401" s="43" t="n"/>
      <c r="T401" s="43" t="n"/>
      <c r="U401" s="43" t="n"/>
      <c r="V401" s="43" t="n"/>
      <c r="W401" s="43" t="n"/>
      <c r="X401" s="43" t="n"/>
      <c r="Y401" s="43" t="n"/>
      <c r="Z401" s="43" t="n"/>
    </row>
    <row r="402">
      <c r="A402" s="43" t="n"/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  <c r="R402" s="43" t="n"/>
      <c r="S402" s="43" t="n"/>
      <c r="T402" s="43" t="n"/>
      <c r="U402" s="43" t="n"/>
      <c r="V402" s="43" t="n"/>
      <c r="W402" s="43" t="n"/>
      <c r="X402" s="43" t="n"/>
      <c r="Y402" s="43" t="n"/>
      <c r="Z402" s="43" t="n"/>
    </row>
    <row r="403">
      <c r="A403" s="43" t="n"/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  <c r="R403" s="43" t="n"/>
      <c r="S403" s="43" t="n"/>
      <c r="T403" s="43" t="n"/>
      <c r="U403" s="43" t="n"/>
      <c r="V403" s="43" t="n"/>
      <c r="W403" s="43" t="n"/>
      <c r="X403" s="43" t="n"/>
      <c r="Y403" s="43" t="n"/>
      <c r="Z403" s="43" t="n"/>
    </row>
    <row r="404">
      <c r="A404" s="43" t="n"/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  <c r="R404" s="43" t="n"/>
      <c r="S404" s="43" t="n"/>
      <c r="T404" s="43" t="n"/>
      <c r="U404" s="43" t="n"/>
      <c r="V404" s="43" t="n"/>
      <c r="W404" s="43" t="n"/>
      <c r="X404" s="43" t="n"/>
      <c r="Y404" s="43" t="n"/>
      <c r="Z404" s="43" t="n"/>
    </row>
    <row r="405">
      <c r="A405" s="43" t="n"/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  <c r="R405" s="43" t="n"/>
      <c r="S405" s="43" t="n"/>
      <c r="T405" s="43" t="n"/>
      <c r="U405" s="43" t="n"/>
      <c r="V405" s="43" t="n"/>
      <c r="W405" s="43" t="n"/>
      <c r="X405" s="43" t="n"/>
      <c r="Y405" s="43" t="n"/>
      <c r="Z405" s="43" t="n"/>
    </row>
    <row r="406">
      <c r="A406" s="43" t="n"/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</row>
    <row r="407">
      <c r="A407" s="43" t="n"/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  <c r="R407" s="43" t="n"/>
      <c r="S407" s="43" t="n"/>
      <c r="T407" s="43" t="n"/>
      <c r="U407" s="43" t="n"/>
      <c r="V407" s="43" t="n"/>
      <c r="W407" s="43" t="n"/>
      <c r="X407" s="43" t="n"/>
      <c r="Y407" s="43" t="n"/>
      <c r="Z407" s="43" t="n"/>
    </row>
    <row r="408">
      <c r="A408" s="43" t="n"/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  <c r="R408" s="43" t="n"/>
      <c r="S408" s="43" t="n"/>
      <c r="T408" s="43" t="n"/>
      <c r="U408" s="43" t="n"/>
      <c r="V408" s="43" t="n"/>
      <c r="W408" s="43" t="n"/>
      <c r="X408" s="43" t="n"/>
      <c r="Y408" s="43" t="n"/>
      <c r="Z408" s="43" t="n"/>
    </row>
    <row r="409">
      <c r="A409" s="43" t="n"/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</row>
    <row r="410">
      <c r="A410" s="43" t="n"/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  <c r="R410" s="43" t="n"/>
      <c r="S410" s="43" t="n"/>
      <c r="T410" s="43" t="n"/>
      <c r="U410" s="43" t="n"/>
      <c r="V410" s="43" t="n"/>
      <c r="W410" s="43" t="n"/>
      <c r="X410" s="43" t="n"/>
      <c r="Y410" s="43" t="n"/>
      <c r="Z410" s="43" t="n"/>
    </row>
    <row r="411">
      <c r="A411" s="43" t="n"/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  <c r="R411" s="43" t="n"/>
      <c r="S411" s="43" t="n"/>
      <c r="T411" s="43" t="n"/>
      <c r="U411" s="43" t="n"/>
      <c r="V411" s="43" t="n"/>
      <c r="W411" s="43" t="n"/>
      <c r="X411" s="43" t="n"/>
      <c r="Y411" s="43" t="n"/>
      <c r="Z411" s="43" t="n"/>
    </row>
    <row r="412">
      <c r="A412" s="43" t="n"/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  <c r="R412" s="43" t="n"/>
      <c r="S412" s="43" t="n"/>
      <c r="T412" s="43" t="n"/>
      <c r="U412" s="43" t="n"/>
      <c r="V412" s="43" t="n"/>
      <c r="W412" s="43" t="n"/>
      <c r="X412" s="43" t="n"/>
      <c r="Y412" s="43" t="n"/>
      <c r="Z412" s="43" t="n"/>
    </row>
    <row r="413">
      <c r="A413" s="43" t="n"/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  <c r="R413" s="43" t="n"/>
      <c r="S413" s="43" t="n"/>
      <c r="T413" s="43" t="n"/>
      <c r="U413" s="43" t="n"/>
      <c r="V413" s="43" t="n"/>
      <c r="W413" s="43" t="n"/>
      <c r="X413" s="43" t="n"/>
      <c r="Y413" s="43" t="n"/>
      <c r="Z413" s="43" t="n"/>
    </row>
    <row r="414">
      <c r="A414" s="43" t="n"/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  <c r="R414" s="43" t="n"/>
      <c r="S414" s="43" t="n"/>
      <c r="T414" s="43" t="n"/>
      <c r="U414" s="43" t="n"/>
      <c r="V414" s="43" t="n"/>
      <c r="W414" s="43" t="n"/>
      <c r="X414" s="43" t="n"/>
      <c r="Y414" s="43" t="n"/>
      <c r="Z414" s="43" t="n"/>
    </row>
    <row r="415">
      <c r="A415" s="43" t="n"/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  <c r="R415" s="43" t="n"/>
      <c r="S415" s="43" t="n"/>
      <c r="T415" s="43" t="n"/>
      <c r="U415" s="43" t="n"/>
      <c r="V415" s="43" t="n"/>
      <c r="W415" s="43" t="n"/>
      <c r="X415" s="43" t="n"/>
      <c r="Y415" s="43" t="n"/>
      <c r="Z415" s="43" t="n"/>
    </row>
    <row r="416">
      <c r="A416" s="43" t="n"/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  <c r="R416" s="43" t="n"/>
      <c r="S416" s="43" t="n"/>
      <c r="T416" s="43" t="n"/>
      <c r="U416" s="43" t="n"/>
      <c r="V416" s="43" t="n"/>
      <c r="W416" s="43" t="n"/>
      <c r="X416" s="43" t="n"/>
      <c r="Y416" s="43" t="n"/>
      <c r="Z416" s="43" t="n"/>
    </row>
    <row r="417">
      <c r="A417" s="43" t="n"/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</row>
    <row r="418">
      <c r="A418" s="43" t="n"/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  <c r="R418" s="43" t="n"/>
      <c r="S418" s="43" t="n"/>
      <c r="T418" s="43" t="n"/>
      <c r="U418" s="43" t="n"/>
      <c r="V418" s="43" t="n"/>
      <c r="W418" s="43" t="n"/>
      <c r="X418" s="43" t="n"/>
      <c r="Y418" s="43" t="n"/>
      <c r="Z418" s="43" t="n"/>
    </row>
    <row r="419">
      <c r="A419" s="43" t="n"/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  <c r="R419" s="43" t="n"/>
      <c r="S419" s="43" t="n"/>
      <c r="T419" s="43" t="n"/>
      <c r="U419" s="43" t="n"/>
      <c r="V419" s="43" t="n"/>
      <c r="W419" s="43" t="n"/>
      <c r="X419" s="43" t="n"/>
      <c r="Y419" s="43" t="n"/>
      <c r="Z419" s="43" t="n"/>
    </row>
    <row r="420">
      <c r="A420" s="43" t="n"/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  <c r="R420" s="43" t="n"/>
      <c r="S420" s="43" t="n"/>
      <c r="T420" s="43" t="n"/>
      <c r="U420" s="43" t="n"/>
      <c r="V420" s="43" t="n"/>
      <c r="W420" s="43" t="n"/>
      <c r="X420" s="43" t="n"/>
      <c r="Y420" s="43" t="n"/>
      <c r="Z420" s="43" t="n"/>
    </row>
    <row r="421">
      <c r="A421" s="43" t="n"/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  <c r="R421" s="43" t="n"/>
      <c r="S421" s="43" t="n"/>
      <c r="T421" s="43" t="n"/>
      <c r="U421" s="43" t="n"/>
      <c r="V421" s="43" t="n"/>
      <c r="W421" s="43" t="n"/>
      <c r="X421" s="43" t="n"/>
      <c r="Y421" s="43" t="n"/>
      <c r="Z421" s="43" t="n"/>
    </row>
    <row r="422">
      <c r="A422" s="43" t="n"/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  <c r="R422" s="43" t="n"/>
      <c r="S422" s="43" t="n"/>
      <c r="T422" s="43" t="n"/>
      <c r="U422" s="43" t="n"/>
      <c r="V422" s="43" t="n"/>
      <c r="W422" s="43" t="n"/>
      <c r="X422" s="43" t="n"/>
      <c r="Y422" s="43" t="n"/>
      <c r="Z422" s="43" t="n"/>
    </row>
    <row r="423">
      <c r="A423" s="43" t="n"/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  <c r="R423" s="43" t="n"/>
      <c r="S423" s="43" t="n"/>
      <c r="T423" s="43" t="n"/>
      <c r="U423" s="43" t="n"/>
      <c r="V423" s="43" t="n"/>
      <c r="W423" s="43" t="n"/>
      <c r="X423" s="43" t="n"/>
      <c r="Y423" s="43" t="n"/>
      <c r="Z423" s="43" t="n"/>
    </row>
    <row r="424">
      <c r="A424" s="43" t="n"/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  <c r="R424" s="43" t="n"/>
      <c r="S424" s="43" t="n"/>
      <c r="T424" s="43" t="n"/>
      <c r="U424" s="43" t="n"/>
      <c r="V424" s="43" t="n"/>
      <c r="W424" s="43" t="n"/>
      <c r="X424" s="43" t="n"/>
      <c r="Y424" s="43" t="n"/>
      <c r="Z424" s="43" t="n"/>
    </row>
    <row r="425">
      <c r="A425" s="43" t="n"/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  <c r="R425" s="43" t="n"/>
      <c r="S425" s="43" t="n"/>
      <c r="T425" s="43" t="n"/>
      <c r="U425" s="43" t="n"/>
      <c r="V425" s="43" t="n"/>
      <c r="W425" s="43" t="n"/>
      <c r="X425" s="43" t="n"/>
      <c r="Y425" s="43" t="n"/>
      <c r="Z425" s="43" t="n"/>
    </row>
    <row r="426">
      <c r="A426" s="43" t="n"/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  <c r="R426" s="43" t="n"/>
      <c r="S426" s="43" t="n"/>
      <c r="T426" s="43" t="n"/>
      <c r="U426" s="43" t="n"/>
      <c r="V426" s="43" t="n"/>
      <c r="W426" s="43" t="n"/>
      <c r="X426" s="43" t="n"/>
      <c r="Y426" s="43" t="n"/>
      <c r="Z426" s="43" t="n"/>
    </row>
    <row r="427">
      <c r="A427" s="43" t="n"/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  <c r="R427" s="43" t="n"/>
      <c r="S427" s="43" t="n"/>
      <c r="T427" s="43" t="n"/>
      <c r="U427" s="43" t="n"/>
      <c r="V427" s="43" t="n"/>
      <c r="W427" s="43" t="n"/>
      <c r="X427" s="43" t="n"/>
      <c r="Y427" s="43" t="n"/>
      <c r="Z427" s="43" t="n"/>
    </row>
    <row r="428">
      <c r="A428" s="43" t="n"/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  <c r="R428" s="43" t="n"/>
      <c r="S428" s="43" t="n"/>
      <c r="T428" s="43" t="n"/>
      <c r="U428" s="43" t="n"/>
      <c r="V428" s="43" t="n"/>
      <c r="W428" s="43" t="n"/>
      <c r="X428" s="43" t="n"/>
      <c r="Y428" s="43" t="n"/>
      <c r="Z428" s="43" t="n"/>
    </row>
    <row r="429">
      <c r="A429" s="43" t="n"/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  <c r="R429" s="43" t="n"/>
      <c r="S429" s="43" t="n"/>
      <c r="T429" s="43" t="n"/>
      <c r="U429" s="43" t="n"/>
      <c r="V429" s="43" t="n"/>
      <c r="W429" s="43" t="n"/>
      <c r="X429" s="43" t="n"/>
      <c r="Y429" s="43" t="n"/>
      <c r="Z429" s="43" t="n"/>
    </row>
    <row r="430">
      <c r="A430" s="43" t="n"/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  <c r="R430" s="43" t="n"/>
      <c r="S430" s="43" t="n"/>
      <c r="T430" s="43" t="n"/>
      <c r="U430" s="43" t="n"/>
      <c r="V430" s="43" t="n"/>
      <c r="W430" s="43" t="n"/>
      <c r="X430" s="43" t="n"/>
      <c r="Y430" s="43" t="n"/>
      <c r="Z430" s="43" t="n"/>
    </row>
    <row r="431">
      <c r="A431" s="43" t="n"/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  <c r="R431" s="43" t="n"/>
      <c r="S431" s="43" t="n"/>
      <c r="T431" s="43" t="n"/>
      <c r="U431" s="43" t="n"/>
      <c r="V431" s="43" t="n"/>
      <c r="W431" s="43" t="n"/>
      <c r="X431" s="43" t="n"/>
      <c r="Y431" s="43" t="n"/>
      <c r="Z431" s="43" t="n"/>
    </row>
    <row r="432">
      <c r="A432" s="43" t="n"/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  <c r="R432" s="43" t="n"/>
      <c r="S432" s="43" t="n"/>
      <c r="T432" s="43" t="n"/>
      <c r="U432" s="43" t="n"/>
      <c r="V432" s="43" t="n"/>
      <c r="W432" s="43" t="n"/>
      <c r="X432" s="43" t="n"/>
      <c r="Y432" s="43" t="n"/>
      <c r="Z432" s="43" t="n"/>
    </row>
    <row r="433">
      <c r="A433" s="43" t="n"/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  <c r="R433" s="43" t="n"/>
      <c r="S433" s="43" t="n"/>
      <c r="T433" s="43" t="n"/>
      <c r="U433" s="43" t="n"/>
      <c r="V433" s="43" t="n"/>
      <c r="W433" s="43" t="n"/>
      <c r="X433" s="43" t="n"/>
      <c r="Y433" s="43" t="n"/>
      <c r="Z433" s="43" t="n"/>
    </row>
    <row r="434">
      <c r="A434" s="43" t="n"/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  <c r="R434" s="43" t="n"/>
      <c r="S434" s="43" t="n"/>
      <c r="T434" s="43" t="n"/>
      <c r="U434" s="43" t="n"/>
      <c r="V434" s="43" t="n"/>
      <c r="W434" s="43" t="n"/>
      <c r="X434" s="43" t="n"/>
      <c r="Y434" s="43" t="n"/>
      <c r="Z434" s="43" t="n"/>
    </row>
    <row r="435">
      <c r="A435" s="43" t="n"/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  <c r="R435" s="43" t="n"/>
      <c r="S435" s="43" t="n"/>
      <c r="T435" s="43" t="n"/>
      <c r="U435" s="43" t="n"/>
      <c r="V435" s="43" t="n"/>
      <c r="W435" s="43" t="n"/>
      <c r="X435" s="43" t="n"/>
      <c r="Y435" s="43" t="n"/>
      <c r="Z435" s="43" t="n"/>
    </row>
    <row r="436">
      <c r="A436" s="43" t="n"/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  <c r="R436" s="43" t="n"/>
      <c r="S436" s="43" t="n"/>
      <c r="T436" s="43" t="n"/>
      <c r="U436" s="43" t="n"/>
      <c r="V436" s="43" t="n"/>
      <c r="W436" s="43" t="n"/>
      <c r="X436" s="43" t="n"/>
      <c r="Y436" s="43" t="n"/>
      <c r="Z436" s="43" t="n"/>
    </row>
    <row r="437">
      <c r="A437" s="43" t="n"/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  <c r="R437" s="43" t="n"/>
      <c r="S437" s="43" t="n"/>
      <c r="T437" s="43" t="n"/>
      <c r="U437" s="43" t="n"/>
      <c r="V437" s="43" t="n"/>
      <c r="W437" s="43" t="n"/>
      <c r="X437" s="43" t="n"/>
      <c r="Y437" s="43" t="n"/>
      <c r="Z437" s="43" t="n"/>
    </row>
    <row r="438">
      <c r="A438" s="43" t="n"/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  <c r="R438" s="43" t="n"/>
      <c r="S438" s="43" t="n"/>
      <c r="T438" s="43" t="n"/>
      <c r="U438" s="43" t="n"/>
      <c r="V438" s="43" t="n"/>
      <c r="W438" s="43" t="n"/>
      <c r="X438" s="43" t="n"/>
      <c r="Y438" s="43" t="n"/>
      <c r="Z438" s="43" t="n"/>
    </row>
    <row r="439">
      <c r="A439" s="43" t="n"/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  <c r="R439" s="43" t="n"/>
      <c r="S439" s="43" t="n"/>
      <c r="T439" s="43" t="n"/>
      <c r="U439" s="43" t="n"/>
      <c r="V439" s="43" t="n"/>
      <c r="W439" s="43" t="n"/>
      <c r="X439" s="43" t="n"/>
      <c r="Y439" s="43" t="n"/>
      <c r="Z439" s="43" t="n"/>
    </row>
    <row r="440">
      <c r="A440" s="43" t="n"/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  <c r="R440" s="43" t="n"/>
      <c r="S440" s="43" t="n"/>
      <c r="T440" s="43" t="n"/>
      <c r="U440" s="43" t="n"/>
      <c r="V440" s="43" t="n"/>
      <c r="W440" s="43" t="n"/>
      <c r="X440" s="43" t="n"/>
      <c r="Y440" s="43" t="n"/>
      <c r="Z440" s="43" t="n"/>
    </row>
    <row r="441">
      <c r="A441" s="43" t="n"/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  <c r="R441" s="43" t="n"/>
      <c r="S441" s="43" t="n"/>
      <c r="T441" s="43" t="n"/>
      <c r="U441" s="43" t="n"/>
      <c r="V441" s="43" t="n"/>
      <c r="W441" s="43" t="n"/>
      <c r="X441" s="43" t="n"/>
      <c r="Y441" s="43" t="n"/>
      <c r="Z441" s="43" t="n"/>
    </row>
    <row r="442">
      <c r="A442" s="43" t="n"/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  <c r="R442" s="43" t="n"/>
      <c r="S442" s="43" t="n"/>
      <c r="T442" s="43" t="n"/>
      <c r="U442" s="43" t="n"/>
      <c r="V442" s="43" t="n"/>
      <c r="W442" s="43" t="n"/>
      <c r="X442" s="43" t="n"/>
      <c r="Y442" s="43" t="n"/>
      <c r="Z442" s="43" t="n"/>
    </row>
    <row r="443">
      <c r="A443" s="43" t="n"/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  <c r="R443" s="43" t="n"/>
      <c r="S443" s="43" t="n"/>
      <c r="T443" s="43" t="n"/>
      <c r="U443" s="43" t="n"/>
      <c r="V443" s="43" t="n"/>
      <c r="W443" s="43" t="n"/>
      <c r="X443" s="43" t="n"/>
      <c r="Y443" s="43" t="n"/>
      <c r="Z443" s="43" t="n"/>
    </row>
    <row r="444">
      <c r="A444" s="43" t="n"/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  <c r="R444" s="43" t="n"/>
      <c r="S444" s="43" t="n"/>
      <c r="T444" s="43" t="n"/>
      <c r="U444" s="43" t="n"/>
      <c r="V444" s="43" t="n"/>
      <c r="W444" s="43" t="n"/>
      <c r="X444" s="43" t="n"/>
      <c r="Y444" s="43" t="n"/>
      <c r="Z444" s="43" t="n"/>
    </row>
    <row r="445">
      <c r="A445" s="43" t="n"/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  <c r="R445" s="43" t="n"/>
      <c r="S445" s="43" t="n"/>
      <c r="T445" s="43" t="n"/>
      <c r="U445" s="43" t="n"/>
      <c r="V445" s="43" t="n"/>
      <c r="W445" s="43" t="n"/>
      <c r="X445" s="43" t="n"/>
      <c r="Y445" s="43" t="n"/>
      <c r="Z445" s="43" t="n"/>
    </row>
    <row r="446">
      <c r="A446" s="43" t="n"/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</row>
    <row r="447">
      <c r="A447" s="43" t="n"/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  <c r="R447" s="43" t="n"/>
      <c r="S447" s="43" t="n"/>
      <c r="T447" s="43" t="n"/>
      <c r="U447" s="43" t="n"/>
      <c r="V447" s="43" t="n"/>
      <c r="W447" s="43" t="n"/>
      <c r="X447" s="43" t="n"/>
      <c r="Y447" s="43" t="n"/>
      <c r="Z447" s="43" t="n"/>
    </row>
    <row r="448">
      <c r="A448" s="43" t="n"/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  <c r="R448" s="43" t="n"/>
      <c r="S448" s="43" t="n"/>
      <c r="T448" s="43" t="n"/>
      <c r="U448" s="43" t="n"/>
      <c r="V448" s="43" t="n"/>
      <c r="W448" s="43" t="n"/>
      <c r="X448" s="43" t="n"/>
      <c r="Y448" s="43" t="n"/>
      <c r="Z448" s="43" t="n"/>
    </row>
    <row r="449">
      <c r="A449" s="43" t="n"/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  <c r="R449" s="43" t="n"/>
      <c r="S449" s="43" t="n"/>
      <c r="T449" s="43" t="n"/>
      <c r="U449" s="43" t="n"/>
      <c r="V449" s="43" t="n"/>
      <c r="W449" s="43" t="n"/>
      <c r="X449" s="43" t="n"/>
      <c r="Y449" s="43" t="n"/>
      <c r="Z449" s="43" t="n"/>
    </row>
    <row r="450">
      <c r="A450" s="43" t="n"/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  <c r="R450" s="43" t="n"/>
      <c r="S450" s="43" t="n"/>
      <c r="T450" s="43" t="n"/>
      <c r="U450" s="43" t="n"/>
      <c r="V450" s="43" t="n"/>
      <c r="W450" s="43" t="n"/>
      <c r="X450" s="43" t="n"/>
      <c r="Y450" s="43" t="n"/>
      <c r="Z450" s="43" t="n"/>
    </row>
    <row r="451">
      <c r="A451" s="43" t="n"/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  <c r="R451" s="43" t="n"/>
      <c r="S451" s="43" t="n"/>
      <c r="T451" s="43" t="n"/>
      <c r="U451" s="43" t="n"/>
      <c r="V451" s="43" t="n"/>
      <c r="W451" s="43" t="n"/>
      <c r="X451" s="43" t="n"/>
      <c r="Y451" s="43" t="n"/>
      <c r="Z451" s="43" t="n"/>
    </row>
    <row r="452">
      <c r="A452" s="43" t="n"/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  <c r="R452" s="43" t="n"/>
      <c r="S452" s="43" t="n"/>
      <c r="T452" s="43" t="n"/>
      <c r="U452" s="43" t="n"/>
      <c r="V452" s="43" t="n"/>
      <c r="W452" s="43" t="n"/>
      <c r="X452" s="43" t="n"/>
      <c r="Y452" s="43" t="n"/>
      <c r="Z452" s="43" t="n"/>
    </row>
    <row r="453">
      <c r="A453" s="43" t="n"/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  <c r="R453" s="43" t="n"/>
      <c r="S453" s="43" t="n"/>
      <c r="T453" s="43" t="n"/>
      <c r="U453" s="43" t="n"/>
      <c r="V453" s="43" t="n"/>
      <c r="W453" s="43" t="n"/>
      <c r="X453" s="43" t="n"/>
      <c r="Y453" s="43" t="n"/>
      <c r="Z453" s="43" t="n"/>
    </row>
    <row r="454">
      <c r="A454" s="43" t="n"/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  <c r="R454" s="43" t="n"/>
      <c r="S454" s="43" t="n"/>
      <c r="T454" s="43" t="n"/>
      <c r="U454" s="43" t="n"/>
      <c r="V454" s="43" t="n"/>
      <c r="W454" s="43" t="n"/>
      <c r="X454" s="43" t="n"/>
      <c r="Y454" s="43" t="n"/>
      <c r="Z454" s="43" t="n"/>
    </row>
    <row r="455">
      <c r="A455" s="43" t="n"/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</row>
    <row r="456">
      <c r="A456" s="43" t="n"/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  <c r="R456" s="43" t="n"/>
      <c r="S456" s="43" t="n"/>
      <c r="T456" s="43" t="n"/>
      <c r="U456" s="43" t="n"/>
      <c r="V456" s="43" t="n"/>
      <c r="W456" s="43" t="n"/>
      <c r="X456" s="43" t="n"/>
      <c r="Y456" s="43" t="n"/>
      <c r="Z456" s="43" t="n"/>
    </row>
    <row r="457">
      <c r="A457" s="43" t="n"/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</row>
    <row r="458">
      <c r="A458" s="43" t="n"/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  <c r="R458" s="43" t="n"/>
      <c r="S458" s="43" t="n"/>
      <c r="T458" s="43" t="n"/>
      <c r="U458" s="43" t="n"/>
      <c r="V458" s="43" t="n"/>
      <c r="W458" s="43" t="n"/>
      <c r="X458" s="43" t="n"/>
      <c r="Y458" s="43" t="n"/>
      <c r="Z458" s="43" t="n"/>
    </row>
    <row r="459">
      <c r="A459" s="43" t="n"/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  <c r="R459" s="43" t="n"/>
      <c r="S459" s="43" t="n"/>
      <c r="T459" s="43" t="n"/>
      <c r="U459" s="43" t="n"/>
      <c r="V459" s="43" t="n"/>
      <c r="W459" s="43" t="n"/>
      <c r="X459" s="43" t="n"/>
      <c r="Y459" s="43" t="n"/>
      <c r="Z459" s="43" t="n"/>
    </row>
    <row r="460">
      <c r="A460" s="43" t="n"/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  <c r="R460" s="43" t="n"/>
      <c r="S460" s="43" t="n"/>
      <c r="T460" s="43" t="n"/>
      <c r="U460" s="43" t="n"/>
      <c r="V460" s="43" t="n"/>
      <c r="W460" s="43" t="n"/>
      <c r="X460" s="43" t="n"/>
      <c r="Y460" s="43" t="n"/>
      <c r="Z460" s="43" t="n"/>
    </row>
    <row r="461">
      <c r="A461" s="43" t="n"/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</row>
    <row r="462">
      <c r="A462" s="43" t="n"/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  <c r="R462" s="43" t="n"/>
      <c r="S462" s="43" t="n"/>
      <c r="T462" s="43" t="n"/>
      <c r="U462" s="43" t="n"/>
      <c r="V462" s="43" t="n"/>
      <c r="W462" s="43" t="n"/>
      <c r="X462" s="43" t="n"/>
      <c r="Y462" s="43" t="n"/>
      <c r="Z462" s="43" t="n"/>
    </row>
    <row r="463">
      <c r="A463" s="43" t="n"/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  <c r="R463" s="43" t="n"/>
      <c r="S463" s="43" t="n"/>
      <c r="T463" s="43" t="n"/>
      <c r="U463" s="43" t="n"/>
      <c r="V463" s="43" t="n"/>
      <c r="W463" s="43" t="n"/>
      <c r="X463" s="43" t="n"/>
      <c r="Y463" s="43" t="n"/>
      <c r="Z463" s="43" t="n"/>
    </row>
    <row r="464">
      <c r="A464" s="43" t="n"/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  <c r="R464" s="43" t="n"/>
      <c r="S464" s="43" t="n"/>
      <c r="T464" s="43" t="n"/>
      <c r="U464" s="43" t="n"/>
      <c r="V464" s="43" t="n"/>
      <c r="W464" s="43" t="n"/>
      <c r="X464" s="43" t="n"/>
      <c r="Y464" s="43" t="n"/>
      <c r="Z464" s="43" t="n"/>
    </row>
    <row r="465">
      <c r="A465" s="43" t="n"/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  <c r="R465" s="43" t="n"/>
      <c r="S465" s="43" t="n"/>
      <c r="T465" s="43" t="n"/>
      <c r="U465" s="43" t="n"/>
      <c r="V465" s="43" t="n"/>
      <c r="W465" s="43" t="n"/>
      <c r="X465" s="43" t="n"/>
      <c r="Y465" s="43" t="n"/>
      <c r="Z465" s="43" t="n"/>
    </row>
    <row r="466">
      <c r="A466" s="43" t="n"/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  <c r="R466" s="43" t="n"/>
      <c r="S466" s="43" t="n"/>
      <c r="T466" s="43" t="n"/>
      <c r="U466" s="43" t="n"/>
      <c r="V466" s="43" t="n"/>
      <c r="W466" s="43" t="n"/>
      <c r="X466" s="43" t="n"/>
      <c r="Y466" s="43" t="n"/>
      <c r="Z466" s="43" t="n"/>
    </row>
    <row r="467">
      <c r="A467" s="43" t="n"/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  <c r="R467" s="43" t="n"/>
      <c r="S467" s="43" t="n"/>
      <c r="T467" s="43" t="n"/>
      <c r="U467" s="43" t="n"/>
      <c r="V467" s="43" t="n"/>
      <c r="W467" s="43" t="n"/>
      <c r="X467" s="43" t="n"/>
      <c r="Y467" s="43" t="n"/>
      <c r="Z467" s="43" t="n"/>
    </row>
    <row r="468">
      <c r="A468" s="43" t="n"/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  <c r="R468" s="43" t="n"/>
      <c r="S468" s="43" t="n"/>
      <c r="T468" s="43" t="n"/>
      <c r="U468" s="43" t="n"/>
      <c r="V468" s="43" t="n"/>
      <c r="W468" s="43" t="n"/>
      <c r="X468" s="43" t="n"/>
      <c r="Y468" s="43" t="n"/>
      <c r="Z468" s="43" t="n"/>
    </row>
    <row r="469">
      <c r="A469" s="43" t="n"/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  <c r="R469" s="43" t="n"/>
      <c r="S469" s="43" t="n"/>
      <c r="T469" s="43" t="n"/>
      <c r="U469" s="43" t="n"/>
      <c r="V469" s="43" t="n"/>
      <c r="W469" s="43" t="n"/>
      <c r="X469" s="43" t="n"/>
      <c r="Y469" s="43" t="n"/>
      <c r="Z469" s="43" t="n"/>
    </row>
    <row r="470">
      <c r="A470" s="43" t="n"/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  <c r="R470" s="43" t="n"/>
      <c r="S470" s="43" t="n"/>
      <c r="T470" s="43" t="n"/>
      <c r="U470" s="43" t="n"/>
      <c r="V470" s="43" t="n"/>
      <c r="W470" s="43" t="n"/>
      <c r="X470" s="43" t="n"/>
      <c r="Y470" s="43" t="n"/>
      <c r="Z470" s="43" t="n"/>
    </row>
    <row r="471">
      <c r="A471" s="43" t="n"/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  <c r="R471" s="43" t="n"/>
      <c r="S471" s="43" t="n"/>
      <c r="T471" s="43" t="n"/>
      <c r="U471" s="43" t="n"/>
      <c r="V471" s="43" t="n"/>
      <c r="W471" s="43" t="n"/>
      <c r="X471" s="43" t="n"/>
      <c r="Y471" s="43" t="n"/>
      <c r="Z471" s="43" t="n"/>
    </row>
    <row r="472">
      <c r="A472" s="43" t="n"/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  <c r="R472" s="43" t="n"/>
      <c r="S472" s="43" t="n"/>
      <c r="T472" s="43" t="n"/>
      <c r="U472" s="43" t="n"/>
      <c r="V472" s="43" t="n"/>
      <c r="W472" s="43" t="n"/>
      <c r="X472" s="43" t="n"/>
      <c r="Y472" s="43" t="n"/>
      <c r="Z472" s="43" t="n"/>
    </row>
    <row r="473">
      <c r="A473" s="43" t="n"/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  <c r="R473" s="43" t="n"/>
      <c r="S473" s="43" t="n"/>
      <c r="T473" s="43" t="n"/>
      <c r="U473" s="43" t="n"/>
      <c r="V473" s="43" t="n"/>
      <c r="W473" s="43" t="n"/>
      <c r="X473" s="43" t="n"/>
      <c r="Y473" s="43" t="n"/>
      <c r="Z473" s="43" t="n"/>
    </row>
    <row r="474">
      <c r="A474" s="43" t="n"/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  <c r="R474" s="43" t="n"/>
      <c r="S474" s="43" t="n"/>
      <c r="T474" s="43" t="n"/>
      <c r="U474" s="43" t="n"/>
      <c r="V474" s="43" t="n"/>
      <c r="W474" s="43" t="n"/>
      <c r="X474" s="43" t="n"/>
      <c r="Y474" s="43" t="n"/>
      <c r="Z474" s="43" t="n"/>
    </row>
    <row r="475">
      <c r="A475" s="43" t="n"/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  <c r="R475" s="43" t="n"/>
      <c r="S475" s="43" t="n"/>
      <c r="T475" s="43" t="n"/>
      <c r="U475" s="43" t="n"/>
      <c r="V475" s="43" t="n"/>
      <c r="W475" s="43" t="n"/>
      <c r="X475" s="43" t="n"/>
      <c r="Y475" s="43" t="n"/>
      <c r="Z475" s="43" t="n"/>
    </row>
    <row r="476">
      <c r="A476" s="43" t="n"/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</row>
    <row r="477">
      <c r="A477" s="43" t="n"/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  <c r="R477" s="43" t="n"/>
      <c r="S477" s="43" t="n"/>
      <c r="T477" s="43" t="n"/>
      <c r="U477" s="43" t="n"/>
      <c r="V477" s="43" t="n"/>
      <c r="W477" s="43" t="n"/>
      <c r="X477" s="43" t="n"/>
      <c r="Y477" s="43" t="n"/>
      <c r="Z477" s="43" t="n"/>
    </row>
    <row r="478">
      <c r="A478" s="43" t="n"/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  <c r="R478" s="43" t="n"/>
      <c r="S478" s="43" t="n"/>
      <c r="T478" s="43" t="n"/>
      <c r="U478" s="43" t="n"/>
      <c r="V478" s="43" t="n"/>
      <c r="W478" s="43" t="n"/>
      <c r="X478" s="43" t="n"/>
      <c r="Y478" s="43" t="n"/>
      <c r="Z478" s="43" t="n"/>
    </row>
    <row r="479">
      <c r="A479" s="43" t="n"/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  <c r="R479" s="43" t="n"/>
      <c r="S479" s="43" t="n"/>
      <c r="T479" s="43" t="n"/>
      <c r="U479" s="43" t="n"/>
      <c r="V479" s="43" t="n"/>
      <c r="W479" s="43" t="n"/>
      <c r="X479" s="43" t="n"/>
      <c r="Y479" s="43" t="n"/>
      <c r="Z479" s="43" t="n"/>
    </row>
    <row r="480">
      <c r="A480" s="43" t="n"/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  <c r="R480" s="43" t="n"/>
      <c r="S480" s="43" t="n"/>
      <c r="T480" s="43" t="n"/>
      <c r="U480" s="43" t="n"/>
      <c r="V480" s="43" t="n"/>
      <c r="W480" s="43" t="n"/>
      <c r="X480" s="43" t="n"/>
      <c r="Y480" s="43" t="n"/>
      <c r="Z480" s="43" t="n"/>
    </row>
    <row r="481">
      <c r="A481" s="43" t="n"/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  <c r="R481" s="43" t="n"/>
      <c r="S481" s="43" t="n"/>
      <c r="T481" s="43" t="n"/>
      <c r="U481" s="43" t="n"/>
      <c r="V481" s="43" t="n"/>
      <c r="W481" s="43" t="n"/>
      <c r="X481" s="43" t="n"/>
      <c r="Y481" s="43" t="n"/>
      <c r="Z481" s="43" t="n"/>
    </row>
    <row r="482">
      <c r="A482" s="43" t="n"/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  <c r="R482" s="43" t="n"/>
      <c r="S482" s="43" t="n"/>
      <c r="T482" s="43" t="n"/>
      <c r="U482" s="43" t="n"/>
      <c r="V482" s="43" t="n"/>
      <c r="W482" s="43" t="n"/>
      <c r="X482" s="43" t="n"/>
      <c r="Y482" s="43" t="n"/>
      <c r="Z482" s="43" t="n"/>
    </row>
    <row r="483">
      <c r="A483" s="43" t="n"/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  <c r="R483" s="43" t="n"/>
      <c r="S483" s="43" t="n"/>
      <c r="T483" s="43" t="n"/>
      <c r="U483" s="43" t="n"/>
      <c r="V483" s="43" t="n"/>
      <c r="W483" s="43" t="n"/>
      <c r="X483" s="43" t="n"/>
      <c r="Y483" s="43" t="n"/>
      <c r="Z483" s="43" t="n"/>
    </row>
    <row r="484">
      <c r="A484" s="43" t="n"/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  <c r="R484" s="43" t="n"/>
      <c r="S484" s="43" t="n"/>
      <c r="T484" s="43" t="n"/>
      <c r="U484" s="43" t="n"/>
      <c r="V484" s="43" t="n"/>
      <c r="W484" s="43" t="n"/>
      <c r="X484" s="43" t="n"/>
      <c r="Y484" s="43" t="n"/>
      <c r="Z484" s="43" t="n"/>
    </row>
    <row r="485">
      <c r="A485" s="43" t="n"/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  <c r="R485" s="43" t="n"/>
      <c r="S485" s="43" t="n"/>
      <c r="T485" s="43" t="n"/>
      <c r="U485" s="43" t="n"/>
      <c r="V485" s="43" t="n"/>
      <c r="W485" s="43" t="n"/>
      <c r="X485" s="43" t="n"/>
      <c r="Y485" s="43" t="n"/>
      <c r="Z485" s="43" t="n"/>
    </row>
    <row r="486">
      <c r="A486" s="43" t="n"/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  <c r="R486" s="43" t="n"/>
      <c r="S486" s="43" t="n"/>
      <c r="T486" s="43" t="n"/>
      <c r="U486" s="43" t="n"/>
      <c r="V486" s="43" t="n"/>
      <c r="W486" s="43" t="n"/>
      <c r="X486" s="43" t="n"/>
      <c r="Y486" s="43" t="n"/>
      <c r="Z486" s="43" t="n"/>
    </row>
    <row r="487">
      <c r="A487" s="43" t="n"/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  <c r="R487" s="43" t="n"/>
      <c r="S487" s="43" t="n"/>
      <c r="T487" s="43" t="n"/>
      <c r="U487" s="43" t="n"/>
      <c r="V487" s="43" t="n"/>
      <c r="W487" s="43" t="n"/>
      <c r="X487" s="43" t="n"/>
      <c r="Y487" s="43" t="n"/>
      <c r="Z487" s="43" t="n"/>
    </row>
    <row r="488">
      <c r="A488" s="43" t="n"/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  <c r="R488" s="43" t="n"/>
      <c r="S488" s="43" t="n"/>
      <c r="T488" s="43" t="n"/>
      <c r="U488" s="43" t="n"/>
      <c r="V488" s="43" t="n"/>
      <c r="W488" s="43" t="n"/>
      <c r="X488" s="43" t="n"/>
      <c r="Y488" s="43" t="n"/>
      <c r="Z488" s="43" t="n"/>
    </row>
    <row r="489">
      <c r="A489" s="43" t="n"/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  <c r="R489" s="43" t="n"/>
      <c r="S489" s="43" t="n"/>
      <c r="T489" s="43" t="n"/>
      <c r="U489" s="43" t="n"/>
      <c r="V489" s="43" t="n"/>
      <c r="W489" s="43" t="n"/>
      <c r="X489" s="43" t="n"/>
      <c r="Y489" s="43" t="n"/>
      <c r="Z489" s="43" t="n"/>
    </row>
    <row r="490">
      <c r="A490" s="43" t="n"/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  <c r="R490" s="43" t="n"/>
      <c r="S490" s="43" t="n"/>
      <c r="T490" s="43" t="n"/>
      <c r="U490" s="43" t="n"/>
      <c r="V490" s="43" t="n"/>
      <c r="W490" s="43" t="n"/>
      <c r="X490" s="43" t="n"/>
      <c r="Y490" s="43" t="n"/>
      <c r="Z490" s="43" t="n"/>
    </row>
    <row r="491">
      <c r="A491" s="43" t="n"/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  <c r="R491" s="43" t="n"/>
      <c r="S491" s="43" t="n"/>
      <c r="T491" s="43" t="n"/>
      <c r="U491" s="43" t="n"/>
      <c r="V491" s="43" t="n"/>
      <c r="W491" s="43" t="n"/>
      <c r="X491" s="43" t="n"/>
      <c r="Y491" s="43" t="n"/>
      <c r="Z491" s="43" t="n"/>
    </row>
    <row r="492">
      <c r="A492" s="43" t="n"/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  <c r="R492" s="43" t="n"/>
      <c r="S492" s="43" t="n"/>
      <c r="T492" s="43" t="n"/>
      <c r="U492" s="43" t="n"/>
      <c r="V492" s="43" t="n"/>
      <c r="W492" s="43" t="n"/>
      <c r="X492" s="43" t="n"/>
      <c r="Y492" s="43" t="n"/>
      <c r="Z492" s="43" t="n"/>
    </row>
    <row r="493">
      <c r="A493" s="43" t="n"/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  <c r="R493" s="43" t="n"/>
      <c r="S493" s="43" t="n"/>
      <c r="T493" s="43" t="n"/>
      <c r="U493" s="43" t="n"/>
      <c r="V493" s="43" t="n"/>
      <c r="W493" s="43" t="n"/>
      <c r="X493" s="43" t="n"/>
      <c r="Y493" s="43" t="n"/>
      <c r="Z493" s="43" t="n"/>
    </row>
    <row r="494">
      <c r="A494" s="43" t="n"/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  <c r="R494" s="43" t="n"/>
      <c r="S494" s="43" t="n"/>
      <c r="T494" s="43" t="n"/>
      <c r="U494" s="43" t="n"/>
      <c r="V494" s="43" t="n"/>
      <c r="W494" s="43" t="n"/>
      <c r="X494" s="43" t="n"/>
      <c r="Y494" s="43" t="n"/>
      <c r="Z494" s="43" t="n"/>
    </row>
    <row r="495">
      <c r="A495" s="43" t="n"/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  <c r="R495" s="43" t="n"/>
      <c r="S495" s="43" t="n"/>
      <c r="T495" s="43" t="n"/>
      <c r="U495" s="43" t="n"/>
      <c r="V495" s="43" t="n"/>
      <c r="W495" s="43" t="n"/>
      <c r="X495" s="43" t="n"/>
      <c r="Y495" s="43" t="n"/>
      <c r="Z495" s="43" t="n"/>
    </row>
    <row r="496">
      <c r="A496" s="43" t="n"/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  <c r="R496" s="43" t="n"/>
      <c r="S496" s="43" t="n"/>
      <c r="T496" s="43" t="n"/>
      <c r="U496" s="43" t="n"/>
      <c r="V496" s="43" t="n"/>
      <c r="W496" s="43" t="n"/>
      <c r="X496" s="43" t="n"/>
      <c r="Y496" s="43" t="n"/>
      <c r="Z496" s="43" t="n"/>
    </row>
    <row r="497">
      <c r="A497" s="43" t="n"/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  <c r="R497" s="43" t="n"/>
      <c r="S497" s="43" t="n"/>
      <c r="T497" s="43" t="n"/>
      <c r="U497" s="43" t="n"/>
      <c r="V497" s="43" t="n"/>
      <c r="W497" s="43" t="n"/>
      <c r="X497" s="43" t="n"/>
      <c r="Y497" s="43" t="n"/>
      <c r="Z497" s="43" t="n"/>
    </row>
    <row r="498">
      <c r="A498" s="43" t="n"/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  <c r="R498" s="43" t="n"/>
      <c r="S498" s="43" t="n"/>
      <c r="T498" s="43" t="n"/>
      <c r="U498" s="43" t="n"/>
      <c r="V498" s="43" t="n"/>
      <c r="W498" s="43" t="n"/>
      <c r="X498" s="43" t="n"/>
      <c r="Y498" s="43" t="n"/>
      <c r="Z498" s="43" t="n"/>
    </row>
    <row r="499">
      <c r="A499" s="43" t="n"/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  <c r="R499" s="43" t="n"/>
      <c r="S499" s="43" t="n"/>
      <c r="T499" s="43" t="n"/>
      <c r="U499" s="43" t="n"/>
      <c r="V499" s="43" t="n"/>
      <c r="W499" s="43" t="n"/>
      <c r="X499" s="43" t="n"/>
      <c r="Y499" s="43" t="n"/>
      <c r="Z499" s="43" t="n"/>
    </row>
    <row r="500">
      <c r="A500" s="43" t="n"/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  <c r="R500" s="43" t="n"/>
      <c r="S500" s="43" t="n"/>
      <c r="T500" s="43" t="n"/>
      <c r="U500" s="43" t="n"/>
      <c r="V500" s="43" t="n"/>
      <c r="W500" s="43" t="n"/>
      <c r="X500" s="43" t="n"/>
      <c r="Y500" s="43" t="n"/>
      <c r="Z500" s="43" t="n"/>
    </row>
    <row r="501">
      <c r="A501" s="43" t="n"/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  <c r="R501" s="43" t="n"/>
      <c r="S501" s="43" t="n"/>
      <c r="T501" s="43" t="n"/>
      <c r="U501" s="43" t="n"/>
      <c r="V501" s="43" t="n"/>
      <c r="W501" s="43" t="n"/>
      <c r="X501" s="43" t="n"/>
      <c r="Y501" s="43" t="n"/>
      <c r="Z501" s="43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</row>
    <row r="503">
      <c r="A503" s="43" t="n"/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  <c r="R503" s="43" t="n"/>
      <c r="S503" s="43" t="n"/>
      <c r="T503" s="43" t="n"/>
      <c r="U503" s="43" t="n"/>
      <c r="V503" s="43" t="n"/>
      <c r="W503" s="43" t="n"/>
      <c r="X503" s="43" t="n"/>
      <c r="Y503" s="43" t="n"/>
      <c r="Z503" s="43" t="n"/>
    </row>
    <row r="504">
      <c r="A504" s="43" t="n"/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  <c r="R504" s="43" t="n"/>
      <c r="S504" s="43" t="n"/>
      <c r="T504" s="43" t="n"/>
      <c r="U504" s="43" t="n"/>
      <c r="V504" s="43" t="n"/>
      <c r="W504" s="43" t="n"/>
      <c r="X504" s="43" t="n"/>
      <c r="Y504" s="43" t="n"/>
      <c r="Z504" s="43" t="n"/>
    </row>
    <row r="505">
      <c r="A505" s="43" t="n"/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  <c r="R505" s="43" t="n"/>
      <c r="S505" s="43" t="n"/>
      <c r="T505" s="43" t="n"/>
      <c r="U505" s="43" t="n"/>
      <c r="V505" s="43" t="n"/>
      <c r="W505" s="43" t="n"/>
      <c r="X505" s="43" t="n"/>
      <c r="Y505" s="43" t="n"/>
      <c r="Z505" s="43" t="n"/>
    </row>
    <row r="506">
      <c r="A506" s="43" t="n"/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  <c r="R506" s="43" t="n"/>
      <c r="S506" s="43" t="n"/>
      <c r="T506" s="43" t="n"/>
      <c r="U506" s="43" t="n"/>
      <c r="V506" s="43" t="n"/>
      <c r="W506" s="43" t="n"/>
      <c r="X506" s="43" t="n"/>
      <c r="Y506" s="43" t="n"/>
      <c r="Z506" s="43" t="n"/>
    </row>
    <row r="507">
      <c r="A507" s="43" t="n"/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  <c r="R507" s="43" t="n"/>
      <c r="S507" s="43" t="n"/>
      <c r="T507" s="43" t="n"/>
      <c r="U507" s="43" t="n"/>
      <c r="V507" s="43" t="n"/>
      <c r="W507" s="43" t="n"/>
      <c r="X507" s="43" t="n"/>
      <c r="Y507" s="43" t="n"/>
      <c r="Z507" s="43" t="n"/>
    </row>
    <row r="508">
      <c r="A508" s="43" t="n"/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  <c r="R508" s="43" t="n"/>
      <c r="S508" s="43" t="n"/>
      <c r="T508" s="43" t="n"/>
      <c r="U508" s="43" t="n"/>
      <c r="V508" s="43" t="n"/>
      <c r="W508" s="43" t="n"/>
      <c r="X508" s="43" t="n"/>
      <c r="Y508" s="43" t="n"/>
      <c r="Z508" s="43" t="n"/>
    </row>
    <row r="509">
      <c r="A509" s="43" t="n"/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  <c r="R509" s="43" t="n"/>
      <c r="S509" s="43" t="n"/>
      <c r="T509" s="43" t="n"/>
      <c r="U509" s="43" t="n"/>
      <c r="V509" s="43" t="n"/>
      <c r="W509" s="43" t="n"/>
      <c r="X509" s="43" t="n"/>
      <c r="Y509" s="43" t="n"/>
      <c r="Z509" s="43" t="n"/>
    </row>
    <row r="510">
      <c r="A510" s="43" t="n"/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  <c r="R510" s="43" t="n"/>
      <c r="S510" s="43" t="n"/>
      <c r="T510" s="43" t="n"/>
      <c r="U510" s="43" t="n"/>
      <c r="V510" s="43" t="n"/>
      <c r="W510" s="43" t="n"/>
      <c r="X510" s="43" t="n"/>
      <c r="Y510" s="43" t="n"/>
      <c r="Z510" s="43" t="n"/>
    </row>
    <row r="511">
      <c r="A511" s="43" t="n"/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  <c r="R511" s="43" t="n"/>
      <c r="S511" s="43" t="n"/>
      <c r="T511" s="43" t="n"/>
      <c r="U511" s="43" t="n"/>
      <c r="V511" s="43" t="n"/>
      <c r="W511" s="43" t="n"/>
      <c r="X511" s="43" t="n"/>
      <c r="Y511" s="43" t="n"/>
      <c r="Z511" s="43" t="n"/>
    </row>
    <row r="512">
      <c r="A512" s="43" t="n"/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  <c r="R512" s="43" t="n"/>
      <c r="S512" s="43" t="n"/>
      <c r="T512" s="43" t="n"/>
      <c r="U512" s="43" t="n"/>
      <c r="V512" s="43" t="n"/>
      <c r="W512" s="43" t="n"/>
      <c r="X512" s="43" t="n"/>
      <c r="Y512" s="43" t="n"/>
      <c r="Z512" s="43" t="n"/>
    </row>
    <row r="513">
      <c r="A513" s="43" t="n"/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  <c r="R513" s="43" t="n"/>
      <c r="S513" s="43" t="n"/>
      <c r="T513" s="43" t="n"/>
      <c r="U513" s="43" t="n"/>
      <c r="V513" s="43" t="n"/>
      <c r="W513" s="43" t="n"/>
      <c r="X513" s="43" t="n"/>
      <c r="Y513" s="43" t="n"/>
      <c r="Z513" s="43" t="n"/>
    </row>
    <row r="514">
      <c r="A514" s="43" t="n"/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  <c r="R514" s="43" t="n"/>
      <c r="S514" s="43" t="n"/>
      <c r="T514" s="43" t="n"/>
      <c r="U514" s="43" t="n"/>
      <c r="V514" s="43" t="n"/>
      <c r="W514" s="43" t="n"/>
      <c r="X514" s="43" t="n"/>
      <c r="Y514" s="43" t="n"/>
      <c r="Z514" s="43" t="n"/>
    </row>
    <row r="515">
      <c r="A515" s="43" t="n"/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  <c r="R515" s="43" t="n"/>
      <c r="S515" s="43" t="n"/>
      <c r="T515" s="43" t="n"/>
      <c r="U515" s="43" t="n"/>
      <c r="V515" s="43" t="n"/>
      <c r="W515" s="43" t="n"/>
      <c r="X515" s="43" t="n"/>
      <c r="Y515" s="43" t="n"/>
      <c r="Z515" s="43" t="n"/>
    </row>
    <row r="516">
      <c r="A516" s="43" t="n"/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  <c r="R516" s="43" t="n"/>
      <c r="S516" s="43" t="n"/>
      <c r="T516" s="43" t="n"/>
      <c r="U516" s="43" t="n"/>
      <c r="V516" s="43" t="n"/>
      <c r="W516" s="43" t="n"/>
      <c r="X516" s="43" t="n"/>
      <c r="Y516" s="43" t="n"/>
      <c r="Z516" s="43" t="n"/>
    </row>
    <row r="517">
      <c r="A517" s="43" t="n"/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  <c r="R517" s="43" t="n"/>
      <c r="S517" s="43" t="n"/>
      <c r="T517" s="43" t="n"/>
      <c r="U517" s="43" t="n"/>
      <c r="V517" s="43" t="n"/>
      <c r="W517" s="43" t="n"/>
      <c r="X517" s="43" t="n"/>
      <c r="Y517" s="43" t="n"/>
      <c r="Z517" s="43" t="n"/>
    </row>
    <row r="518">
      <c r="A518" s="43" t="n"/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</row>
    <row r="519">
      <c r="A519" s="43" t="n"/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  <c r="R519" s="43" t="n"/>
      <c r="S519" s="43" t="n"/>
      <c r="T519" s="43" t="n"/>
      <c r="U519" s="43" t="n"/>
      <c r="V519" s="43" t="n"/>
      <c r="W519" s="43" t="n"/>
      <c r="X519" s="43" t="n"/>
      <c r="Y519" s="43" t="n"/>
      <c r="Z519" s="43" t="n"/>
    </row>
    <row r="520">
      <c r="A520" s="43" t="n"/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  <c r="R520" s="43" t="n"/>
      <c r="S520" s="43" t="n"/>
      <c r="T520" s="43" t="n"/>
      <c r="U520" s="43" t="n"/>
      <c r="V520" s="43" t="n"/>
      <c r="W520" s="43" t="n"/>
      <c r="X520" s="43" t="n"/>
      <c r="Y520" s="43" t="n"/>
      <c r="Z520" s="43" t="n"/>
    </row>
    <row r="521">
      <c r="A521" s="43" t="n"/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  <c r="R521" s="43" t="n"/>
      <c r="S521" s="43" t="n"/>
      <c r="T521" s="43" t="n"/>
      <c r="U521" s="43" t="n"/>
      <c r="V521" s="43" t="n"/>
      <c r="W521" s="43" t="n"/>
      <c r="X521" s="43" t="n"/>
      <c r="Y521" s="43" t="n"/>
      <c r="Z521" s="43" t="n"/>
    </row>
    <row r="522">
      <c r="A522" s="43" t="n"/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</row>
    <row r="523">
      <c r="A523" s="43" t="n"/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  <c r="R523" s="43" t="n"/>
      <c r="S523" s="43" t="n"/>
      <c r="T523" s="43" t="n"/>
      <c r="U523" s="43" t="n"/>
      <c r="V523" s="43" t="n"/>
      <c r="W523" s="43" t="n"/>
      <c r="X523" s="43" t="n"/>
      <c r="Y523" s="43" t="n"/>
      <c r="Z523" s="43" t="n"/>
    </row>
    <row r="524">
      <c r="A524" s="43" t="n"/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</row>
    <row r="525">
      <c r="A525" s="43" t="n"/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  <c r="R525" s="43" t="n"/>
      <c r="S525" s="43" t="n"/>
      <c r="T525" s="43" t="n"/>
      <c r="U525" s="43" t="n"/>
      <c r="V525" s="43" t="n"/>
      <c r="W525" s="43" t="n"/>
      <c r="X525" s="43" t="n"/>
      <c r="Y525" s="43" t="n"/>
      <c r="Z525" s="43" t="n"/>
    </row>
    <row r="526">
      <c r="A526" s="43" t="n"/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  <c r="R526" s="43" t="n"/>
      <c r="S526" s="43" t="n"/>
      <c r="T526" s="43" t="n"/>
      <c r="U526" s="43" t="n"/>
      <c r="V526" s="43" t="n"/>
      <c r="W526" s="43" t="n"/>
      <c r="X526" s="43" t="n"/>
      <c r="Y526" s="43" t="n"/>
      <c r="Z526" s="43" t="n"/>
    </row>
    <row r="527">
      <c r="A527" s="43" t="n"/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  <c r="R527" s="43" t="n"/>
      <c r="S527" s="43" t="n"/>
      <c r="T527" s="43" t="n"/>
      <c r="U527" s="43" t="n"/>
      <c r="V527" s="43" t="n"/>
      <c r="W527" s="43" t="n"/>
      <c r="X527" s="43" t="n"/>
      <c r="Y527" s="43" t="n"/>
      <c r="Z527" s="43" t="n"/>
    </row>
    <row r="528">
      <c r="A528" s="43" t="n"/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</row>
    <row r="529">
      <c r="A529" s="43" t="n"/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  <c r="R529" s="43" t="n"/>
      <c r="S529" s="43" t="n"/>
      <c r="T529" s="43" t="n"/>
      <c r="U529" s="43" t="n"/>
      <c r="V529" s="43" t="n"/>
      <c r="W529" s="43" t="n"/>
      <c r="X529" s="43" t="n"/>
      <c r="Y529" s="43" t="n"/>
      <c r="Z529" s="43" t="n"/>
    </row>
    <row r="530">
      <c r="A530" s="43" t="n"/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  <c r="R530" s="43" t="n"/>
      <c r="S530" s="43" t="n"/>
      <c r="T530" s="43" t="n"/>
      <c r="U530" s="43" t="n"/>
      <c r="V530" s="43" t="n"/>
      <c r="W530" s="43" t="n"/>
      <c r="X530" s="43" t="n"/>
      <c r="Y530" s="43" t="n"/>
      <c r="Z530" s="43" t="n"/>
    </row>
    <row r="531">
      <c r="A531" s="43" t="n"/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  <c r="R531" s="43" t="n"/>
      <c r="S531" s="43" t="n"/>
      <c r="T531" s="43" t="n"/>
      <c r="U531" s="43" t="n"/>
      <c r="V531" s="43" t="n"/>
      <c r="W531" s="43" t="n"/>
      <c r="X531" s="43" t="n"/>
      <c r="Y531" s="43" t="n"/>
      <c r="Z531" s="43" t="n"/>
    </row>
    <row r="532">
      <c r="A532" s="43" t="n"/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  <c r="R532" s="43" t="n"/>
      <c r="S532" s="43" t="n"/>
      <c r="T532" s="43" t="n"/>
      <c r="U532" s="43" t="n"/>
      <c r="V532" s="43" t="n"/>
      <c r="W532" s="43" t="n"/>
      <c r="X532" s="43" t="n"/>
      <c r="Y532" s="43" t="n"/>
      <c r="Z532" s="43" t="n"/>
    </row>
    <row r="533">
      <c r="A533" s="43" t="n"/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  <c r="R533" s="43" t="n"/>
      <c r="S533" s="43" t="n"/>
      <c r="T533" s="43" t="n"/>
      <c r="U533" s="43" t="n"/>
      <c r="V533" s="43" t="n"/>
      <c r="W533" s="43" t="n"/>
      <c r="X533" s="43" t="n"/>
      <c r="Y533" s="43" t="n"/>
      <c r="Z533" s="43" t="n"/>
    </row>
    <row r="534">
      <c r="A534" s="43" t="n"/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  <c r="R534" s="43" t="n"/>
      <c r="S534" s="43" t="n"/>
      <c r="T534" s="43" t="n"/>
      <c r="U534" s="43" t="n"/>
      <c r="V534" s="43" t="n"/>
      <c r="W534" s="43" t="n"/>
      <c r="X534" s="43" t="n"/>
      <c r="Y534" s="43" t="n"/>
      <c r="Z534" s="43" t="n"/>
    </row>
    <row r="535">
      <c r="A535" s="43" t="n"/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  <c r="R535" s="43" t="n"/>
      <c r="S535" s="43" t="n"/>
      <c r="T535" s="43" t="n"/>
      <c r="U535" s="43" t="n"/>
      <c r="V535" s="43" t="n"/>
      <c r="W535" s="43" t="n"/>
      <c r="X535" s="43" t="n"/>
      <c r="Y535" s="43" t="n"/>
      <c r="Z535" s="43" t="n"/>
    </row>
    <row r="536">
      <c r="A536" s="43" t="n"/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  <c r="R536" s="43" t="n"/>
      <c r="S536" s="43" t="n"/>
      <c r="T536" s="43" t="n"/>
      <c r="U536" s="43" t="n"/>
      <c r="V536" s="43" t="n"/>
      <c r="W536" s="43" t="n"/>
      <c r="X536" s="43" t="n"/>
      <c r="Y536" s="43" t="n"/>
      <c r="Z536" s="43" t="n"/>
    </row>
    <row r="537">
      <c r="A537" s="43" t="n"/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  <c r="R537" s="43" t="n"/>
      <c r="S537" s="43" t="n"/>
      <c r="T537" s="43" t="n"/>
      <c r="U537" s="43" t="n"/>
      <c r="V537" s="43" t="n"/>
      <c r="W537" s="43" t="n"/>
      <c r="X537" s="43" t="n"/>
      <c r="Y537" s="43" t="n"/>
      <c r="Z537" s="43" t="n"/>
    </row>
    <row r="538">
      <c r="A538" s="43" t="n"/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  <c r="R538" s="43" t="n"/>
      <c r="S538" s="43" t="n"/>
      <c r="T538" s="43" t="n"/>
      <c r="U538" s="43" t="n"/>
      <c r="V538" s="43" t="n"/>
      <c r="W538" s="43" t="n"/>
      <c r="X538" s="43" t="n"/>
      <c r="Y538" s="43" t="n"/>
      <c r="Z538" s="43" t="n"/>
    </row>
    <row r="539">
      <c r="A539" s="43" t="n"/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  <c r="R539" s="43" t="n"/>
      <c r="S539" s="43" t="n"/>
      <c r="T539" s="43" t="n"/>
      <c r="U539" s="43" t="n"/>
      <c r="V539" s="43" t="n"/>
      <c r="W539" s="43" t="n"/>
      <c r="X539" s="43" t="n"/>
      <c r="Y539" s="43" t="n"/>
      <c r="Z539" s="43" t="n"/>
    </row>
    <row r="540">
      <c r="A540" s="43" t="n"/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  <c r="R540" s="43" t="n"/>
      <c r="S540" s="43" t="n"/>
      <c r="T540" s="43" t="n"/>
      <c r="U540" s="43" t="n"/>
      <c r="V540" s="43" t="n"/>
      <c r="W540" s="43" t="n"/>
      <c r="X540" s="43" t="n"/>
      <c r="Y540" s="43" t="n"/>
      <c r="Z540" s="43" t="n"/>
    </row>
    <row r="541">
      <c r="A541" s="43" t="n"/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  <c r="R541" s="43" t="n"/>
      <c r="S541" s="43" t="n"/>
      <c r="T541" s="43" t="n"/>
      <c r="U541" s="43" t="n"/>
      <c r="V541" s="43" t="n"/>
      <c r="W541" s="43" t="n"/>
      <c r="X541" s="43" t="n"/>
      <c r="Y541" s="43" t="n"/>
      <c r="Z541" s="43" t="n"/>
    </row>
    <row r="542">
      <c r="A542" s="43" t="n"/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  <c r="R542" s="43" t="n"/>
      <c r="S542" s="43" t="n"/>
      <c r="T542" s="43" t="n"/>
      <c r="U542" s="43" t="n"/>
      <c r="V542" s="43" t="n"/>
      <c r="W542" s="43" t="n"/>
      <c r="X542" s="43" t="n"/>
      <c r="Y542" s="43" t="n"/>
      <c r="Z542" s="43" t="n"/>
    </row>
    <row r="543">
      <c r="A543" s="43" t="n"/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  <c r="R543" s="43" t="n"/>
      <c r="S543" s="43" t="n"/>
      <c r="T543" s="43" t="n"/>
      <c r="U543" s="43" t="n"/>
      <c r="V543" s="43" t="n"/>
      <c r="W543" s="43" t="n"/>
      <c r="X543" s="43" t="n"/>
      <c r="Y543" s="43" t="n"/>
      <c r="Z543" s="43" t="n"/>
    </row>
    <row r="544">
      <c r="A544" s="43" t="n"/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  <c r="R544" s="43" t="n"/>
      <c r="S544" s="43" t="n"/>
      <c r="T544" s="43" t="n"/>
      <c r="U544" s="43" t="n"/>
      <c r="V544" s="43" t="n"/>
      <c r="W544" s="43" t="n"/>
      <c r="X544" s="43" t="n"/>
      <c r="Y544" s="43" t="n"/>
      <c r="Z544" s="43" t="n"/>
    </row>
    <row r="545">
      <c r="A545" s="43" t="n"/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  <c r="R545" s="43" t="n"/>
      <c r="S545" s="43" t="n"/>
      <c r="T545" s="43" t="n"/>
      <c r="U545" s="43" t="n"/>
      <c r="V545" s="43" t="n"/>
      <c r="W545" s="43" t="n"/>
      <c r="X545" s="43" t="n"/>
      <c r="Y545" s="43" t="n"/>
      <c r="Z545" s="43" t="n"/>
    </row>
    <row r="546">
      <c r="A546" s="43" t="n"/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  <c r="R546" s="43" t="n"/>
      <c r="S546" s="43" t="n"/>
      <c r="T546" s="43" t="n"/>
      <c r="U546" s="43" t="n"/>
      <c r="V546" s="43" t="n"/>
      <c r="W546" s="43" t="n"/>
      <c r="X546" s="43" t="n"/>
      <c r="Y546" s="43" t="n"/>
      <c r="Z546" s="43" t="n"/>
    </row>
    <row r="547">
      <c r="A547" s="43" t="n"/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  <c r="R547" s="43" t="n"/>
      <c r="S547" s="43" t="n"/>
      <c r="T547" s="43" t="n"/>
      <c r="U547" s="43" t="n"/>
      <c r="V547" s="43" t="n"/>
      <c r="W547" s="43" t="n"/>
      <c r="X547" s="43" t="n"/>
      <c r="Y547" s="43" t="n"/>
      <c r="Z547" s="43" t="n"/>
    </row>
    <row r="548">
      <c r="A548" s="43" t="n"/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  <c r="R548" s="43" t="n"/>
      <c r="S548" s="43" t="n"/>
      <c r="T548" s="43" t="n"/>
      <c r="U548" s="43" t="n"/>
      <c r="V548" s="43" t="n"/>
      <c r="W548" s="43" t="n"/>
      <c r="X548" s="43" t="n"/>
      <c r="Y548" s="43" t="n"/>
      <c r="Z548" s="43" t="n"/>
    </row>
    <row r="549">
      <c r="A549" s="43" t="n"/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  <c r="R549" s="43" t="n"/>
      <c r="S549" s="43" t="n"/>
      <c r="T549" s="43" t="n"/>
      <c r="U549" s="43" t="n"/>
      <c r="V549" s="43" t="n"/>
      <c r="W549" s="43" t="n"/>
      <c r="X549" s="43" t="n"/>
      <c r="Y549" s="43" t="n"/>
      <c r="Z549" s="43" t="n"/>
    </row>
    <row r="550">
      <c r="A550" s="43" t="n"/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  <c r="R550" s="43" t="n"/>
      <c r="S550" s="43" t="n"/>
      <c r="T550" s="43" t="n"/>
      <c r="U550" s="43" t="n"/>
      <c r="V550" s="43" t="n"/>
      <c r="W550" s="43" t="n"/>
      <c r="X550" s="43" t="n"/>
      <c r="Y550" s="43" t="n"/>
      <c r="Z550" s="43" t="n"/>
    </row>
    <row r="551">
      <c r="A551" s="43" t="n"/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  <c r="R551" s="43" t="n"/>
      <c r="S551" s="43" t="n"/>
      <c r="T551" s="43" t="n"/>
      <c r="U551" s="43" t="n"/>
      <c r="V551" s="43" t="n"/>
      <c r="W551" s="43" t="n"/>
      <c r="X551" s="43" t="n"/>
      <c r="Y551" s="43" t="n"/>
      <c r="Z551" s="43" t="n"/>
    </row>
    <row r="552">
      <c r="A552" s="43" t="n"/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  <c r="R552" s="43" t="n"/>
      <c r="S552" s="43" t="n"/>
      <c r="T552" s="43" t="n"/>
      <c r="U552" s="43" t="n"/>
      <c r="V552" s="43" t="n"/>
      <c r="W552" s="43" t="n"/>
      <c r="X552" s="43" t="n"/>
      <c r="Y552" s="43" t="n"/>
      <c r="Z552" s="43" t="n"/>
    </row>
    <row r="553">
      <c r="A553" s="43" t="n"/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  <c r="R553" s="43" t="n"/>
      <c r="S553" s="43" t="n"/>
      <c r="T553" s="43" t="n"/>
      <c r="U553" s="43" t="n"/>
      <c r="V553" s="43" t="n"/>
      <c r="W553" s="43" t="n"/>
      <c r="X553" s="43" t="n"/>
      <c r="Y553" s="43" t="n"/>
      <c r="Z553" s="43" t="n"/>
    </row>
    <row r="554">
      <c r="A554" s="43" t="n"/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  <c r="R554" s="43" t="n"/>
      <c r="S554" s="43" t="n"/>
      <c r="T554" s="43" t="n"/>
      <c r="U554" s="43" t="n"/>
      <c r="V554" s="43" t="n"/>
      <c r="W554" s="43" t="n"/>
      <c r="X554" s="43" t="n"/>
      <c r="Y554" s="43" t="n"/>
      <c r="Z554" s="43" t="n"/>
    </row>
    <row r="555">
      <c r="A555" s="43" t="n"/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  <c r="R555" s="43" t="n"/>
      <c r="S555" s="43" t="n"/>
      <c r="T555" s="43" t="n"/>
      <c r="U555" s="43" t="n"/>
      <c r="V555" s="43" t="n"/>
      <c r="W555" s="43" t="n"/>
      <c r="X555" s="43" t="n"/>
      <c r="Y555" s="43" t="n"/>
      <c r="Z555" s="43" t="n"/>
    </row>
    <row r="556">
      <c r="A556" s="43" t="n"/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  <c r="R556" s="43" t="n"/>
      <c r="S556" s="43" t="n"/>
      <c r="T556" s="43" t="n"/>
      <c r="U556" s="43" t="n"/>
      <c r="V556" s="43" t="n"/>
      <c r="W556" s="43" t="n"/>
      <c r="X556" s="43" t="n"/>
      <c r="Y556" s="43" t="n"/>
      <c r="Z556" s="43" t="n"/>
    </row>
    <row r="557">
      <c r="A557" s="43" t="n"/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  <c r="R557" s="43" t="n"/>
      <c r="S557" s="43" t="n"/>
      <c r="T557" s="43" t="n"/>
      <c r="U557" s="43" t="n"/>
      <c r="V557" s="43" t="n"/>
      <c r="W557" s="43" t="n"/>
      <c r="X557" s="43" t="n"/>
      <c r="Y557" s="43" t="n"/>
      <c r="Z557" s="43" t="n"/>
    </row>
    <row r="558">
      <c r="A558" s="43" t="n"/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  <c r="R558" s="43" t="n"/>
      <c r="S558" s="43" t="n"/>
      <c r="T558" s="43" t="n"/>
      <c r="U558" s="43" t="n"/>
      <c r="V558" s="43" t="n"/>
      <c r="W558" s="43" t="n"/>
      <c r="X558" s="43" t="n"/>
      <c r="Y558" s="43" t="n"/>
      <c r="Z558" s="43" t="n"/>
    </row>
    <row r="559">
      <c r="A559" s="43" t="n"/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  <c r="R559" s="43" t="n"/>
      <c r="S559" s="43" t="n"/>
      <c r="T559" s="43" t="n"/>
      <c r="U559" s="43" t="n"/>
      <c r="V559" s="43" t="n"/>
      <c r="W559" s="43" t="n"/>
      <c r="X559" s="43" t="n"/>
      <c r="Y559" s="43" t="n"/>
      <c r="Z559" s="43" t="n"/>
    </row>
    <row r="560">
      <c r="A560" s="43" t="n"/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  <c r="R560" s="43" t="n"/>
      <c r="S560" s="43" t="n"/>
      <c r="T560" s="43" t="n"/>
      <c r="U560" s="43" t="n"/>
      <c r="V560" s="43" t="n"/>
      <c r="W560" s="43" t="n"/>
      <c r="X560" s="43" t="n"/>
      <c r="Y560" s="43" t="n"/>
      <c r="Z560" s="43" t="n"/>
    </row>
    <row r="561">
      <c r="A561" s="43" t="n"/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  <c r="R561" s="43" t="n"/>
      <c r="S561" s="43" t="n"/>
      <c r="T561" s="43" t="n"/>
      <c r="U561" s="43" t="n"/>
      <c r="V561" s="43" t="n"/>
      <c r="W561" s="43" t="n"/>
      <c r="X561" s="43" t="n"/>
      <c r="Y561" s="43" t="n"/>
      <c r="Z561" s="43" t="n"/>
    </row>
    <row r="562">
      <c r="A562" s="43" t="n"/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  <c r="R562" s="43" t="n"/>
      <c r="S562" s="43" t="n"/>
      <c r="T562" s="43" t="n"/>
      <c r="U562" s="43" t="n"/>
      <c r="V562" s="43" t="n"/>
      <c r="W562" s="43" t="n"/>
      <c r="X562" s="43" t="n"/>
      <c r="Y562" s="43" t="n"/>
      <c r="Z562" s="43" t="n"/>
    </row>
    <row r="563">
      <c r="A563" s="43" t="n"/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  <c r="R563" s="43" t="n"/>
      <c r="S563" s="43" t="n"/>
      <c r="T563" s="43" t="n"/>
      <c r="U563" s="43" t="n"/>
      <c r="V563" s="43" t="n"/>
      <c r="W563" s="43" t="n"/>
      <c r="X563" s="43" t="n"/>
      <c r="Y563" s="43" t="n"/>
      <c r="Z563" s="43" t="n"/>
    </row>
    <row r="564">
      <c r="A564" s="43" t="n"/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  <c r="R564" s="43" t="n"/>
      <c r="S564" s="43" t="n"/>
      <c r="T564" s="43" t="n"/>
      <c r="U564" s="43" t="n"/>
      <c r="V564" s="43" t="n"/>
      <c r="W564" s="43" t="n"/>
      <c r="X564" s="43" t="n"/>
      <c r="Y564" s="43" t="n"/>
      <c r="Z564" s="43" t="n"/>
    </row>
    <row r="565">
      <c r="A565" s="43" t="n"/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  <c r="R565" s="43" t="n"/>
      <c r="S565" s="43" t="n"/>
      <c r="T565" s="43" t="n"/>
      <c r="U565" s="43" t="n"/>
      <c r="V565" s="43" t="n"/>
      <c r="W565" s="43" t="n"/>
      <c r="X565" s="43" t="n"/>
      <c r="Y565" s="43" t="n"/>
      <c r="Z565" s="43" t="n"/>
    </row>
    <row r="566">
      <c r="A566" s="43" t="n"/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  <c r="R566" s="43" t="n"/>
      <c r="S566" s="43" t="n"/>
      <c r="T566" s="43" t="n"/>
      <c r="U566" s="43" t="n"/>
      <c r="V566" s="43" t="n"/>
      <c r="W566" s="43" t="n"/>
      <c r="X566" s="43" t="n"/>
      <c r="Y566" s="43" t="n"/>
      <c r="Z566" s="43" t="n"/>
    </row>
    <row r="567">
      <c r="A567" s="43" t="n"/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  <c r="R567" s="43" t="n"/>
      <c r="S567" s="43" t="n"/>
      <c r="T567" s="43" t="n"/>
      <c r="U567" s="43" t="n"/>
      <c r="V567" s="43" t="n"/>
      <c r="W567" s="43" t="n"/>
      <c r="X567" s="43" t="n"/>
      <c r="Y567" s="43" t="n"/>
      <c r="Z567" s="43" t="n"/>
    </row>
    <row r="568">
      <c r="A568" s="43" t="n"/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  <c r="R568" s="43" t="n"/>
      <c r="S568" s="43" t="n"/>
      <c r="T568" s="43" t="n"/>
      <c r="U568" s="43" t="n"/>
      <c r="V568" s="43" t="n"/>
      <c r="W568" s="43" t="n"/>
      <c r="X568" s="43" t="n"/>
      <c r="Y568" s="43" t="n"/>
      <c r="Z568" s="43" t="n"/>
    </row>
    <row r="569">
      <c r="A569" s="43" t="n"/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  <c r="R569" s="43" t="n"/>
      <c r="S569" s="43" t="n"/>
      <c r="T569" s="43" t="n"/>
      <c r="U569" s="43" t="n"/>
      <c r="V569" s="43" t="n"/>
      <c r="W569" s="43" t="n"/>
      <c r="X569" s="43" t="n"/>
      <c r="Y569" s="43" t="n"/>
      <c r="Z569" s="43" t="n"/>
    </row>
    <row r="570">
      <c r="A570" s="43" t="n"/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  <c r="R570" s="43" t="n"/>
      <c r="S570" s="43" t="n"/>
      <c r="T570" s="43" t="n"/>
      <c r="U570" s="43" t="n"/>
      <c r="V570" s="43" t="n"/>
      <c r="W570" s="43" t="n"/>
      <c r="X570" s="43" t="n"/>
      <c r="Y570" s="43" t="n"/>
      <c r="Z570" s="43" t="n"/>
    </row>
    <row r="571">
      <c r="A571" s="43" t="n"/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  <c r="R571" s="43" t="n"/>
      <c r="S571" s="43" t="n"/>
      <c r="T571" s="43" t="n"/>
      <c r="U571" s="43" t="n"/>
      <c r="V571" s="43" t="n"/>
      <c r="W571" s="43" t="n"/>
      <c r="X571" s="43" t="n"/>
      <c r="Y571" s="43" t="n"/>
      <c r="Z571" s="43" t="n"/>
    </row>
    <row r="572">
      <c r="A572" s="43" t="n"/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  <c r="R572" s="43" t="n"/>
      <c r="S572" s="43" t="n"/>
      <c r="T572" s="43" t="n"/>
      <c r="U572" s="43" t="n"/>
      <c r="V572" s="43" t="n"/>
      <c r="W572" s="43" t="n"/>
      <c r="X572" s="43" t="n"/>
      <c r="Y572" s="43" t="n"/>
      <c r="Z572" s="43" t="n"/>
    </row>
    <row r="573">
      <c r="A573" s="43" t="n"/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  <c r="R573" s="43" t="n"/>
      <c r="S573" s="43" t="n"/>
      <c r="T573" s="43" t="n"/>
      <c r="U573" s="43" t="n"/>
      <c r="V573" s="43" t="n"/>
      <c r="W573" s="43" t="n"/>
      <c r="X573" s="43" t="n"/>
      <c r="Y573" s="43" t="n"/>
      <c r="Z573" s="43" t="n"/>
    </row>
    <row r="574">
      <c r="A574" s="43" t="n"/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  <c r="R574" s="43" t="n"/>
      <c r="S574" s="43" t="n"/>
      <c r="T574" s="43" t="n"/>
      <c r="U574" s="43" t="n"/>
      <c r="V574" s="43" t="n"/>
      <c r="W574" s="43" t="n"/>
      <c r="X574" s="43" t="n"/>
      <c r="Y574" s="43" t="n"/>
      <c r="Z574" s="43" t="n"/>
    </row>
    <row r="575">
      <c r="A575" s="43" t="n"/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  <c r="R575" s="43" t="n"/>
      <c r="S575" s="43" t="n"/>
      <c r="T575" s="43" t="n"/>
      <c r="U575" s="43" t="n"/>
      <c r="V575" s="43" t="n"/>
      <c r="W575" s="43" t="n"/>
      <c r="X575" s="43" t="n"/>
      <c r="Y575" s="43" t="n"/>
      <c r="Z575" s="43" t="n"/>
    </row>
    <row r="576">
      <c r="A576" s="43" t="n"/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  <c r="R576" s="43" t="n"/>
      <c r="S576" s="43" t="n"/>
      <c r="T576" s="43" t="n"/>
      <c r="U576" s="43" t="n"/>
      <c r="V576" s="43" t="n"/>
      <c r="W576" s="43" t="n"/>
      <c r="X576" s="43" t="n"/>
      <c r="Y576" s="43" t="n"/>
      <c r="Z576" s="43" t="n"/>
    </row>
    <row r="577">
      <c r="A577" s="43" t="n"/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  <c r="R577" s="43" t="n"/>
      <c r="S577" s="43" t="n"/>
      <c r="T577" s="43" t="n"/>
      <c r="U577" s="43" t="n"/>
      <c r="V577" s="43" t="n"/>
      <c r="W577" s="43" t="n"/>
      <c r="X577" s="43" t="n"/>
      <c r="Y577" s="43" t="n"/>
      <c r="Z577" s="43" t="n"/>
    </row>
    <row r="578">
      <c r="A578" s="43" t="n"/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  <c r="R578" s="43" t="n"/>
      <c r="S578" s="43" t="n"/>
      <c r="T578" s="43" t="n"/>
      <c r="U578" s="43" t="n"/>
      <c r="V578" s="43" t="n"/>
      <c r="W578" s="43" t="n"/>
      <c r="X578" s="43" t="n"/>
      <c r="Y578" s="43" t="n"/>
      <c r="Z578" s="43" t="n"/>
    </row>
    <row r="579">
      <c r="A579" s="43" t="n"/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  <c r="R579" s="43" t="n"/>
      <c r="S579" s="43" t="n"/>
      <c r="T579" s="43" t="n"/>
      <c r="U579" s="43" t="n"/>
      <c r="V579" s="43" t="n"/>
      <c r="W579" s="43" t="n"/>
      <c r="X579" s="43" t="n"/>
      <c r="Y579" s="43" t="n"/>
      <c r="Z579" s="43" t="n"/>
    </row>
    <row r="580">
      <c r="A580" s="43" t="n"/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  <c r="R580" s="43" t="n"/>
      <c r="S580" s="43" t="n"/>
      <c r="T580" s="43" t="n"/>
      <c r="U580" s="43" t="n"/>
      <c r="V580" s="43" t="n"/>
      <c r="W580" s="43" t="n"/>
      <c r="X580" s="43" t="n"/>
      <c r="Y580" s="43" t="n"/>
      <c r="Z580" s="43" t="n"/>
    </row>
    <row r="581">
      <c r="A581" s="43" t="n"/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  <c r="R581" s="43" t="n"/>
      <c r="S581" s="43" t="n"/>
      <c r="T581" s="43" t="n"/>
      <c r="U581" s="43" t="n"/>
      <c r="V581" s="43" t="n"/>
      <c r="W581" s="43" t="n"/>
      <c r="X581" s="43" t="n"/>
      <c r="Y581" s="43" t="n"/>
      <c r="Z581" s="43" t="n"/>
    </row>
    <row r="582">
      <c r="A582" s="43" t="n"/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  <c r="R582" s="43" t="n"/>
      <c r="S582" s="43" t="n"/>
      <c r="T582" s="43" t="n"/>
      <c r="U582" s="43" t="n"/>
      <c r="V582" s="43" t="n"/>
      <c r="W582" s="43" t="n"/>
      <c r="X582" s="43" t="n"/>
      <c r="Y582" s="43" t="n"/>
      <c r="Z582" s="43" t="n"/>
    </row>
    <row r="583">
      <c r="A583" s="43" t="n"/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  <c r="R583" s="43" t="n"/>
      <c r="S583" s="43" t="n"/>
      <c r="T583" s="43" t="n"/>
      <c r="U583" s="43" t="n"/>
      <c r="V583" s="43" t="n"/>
      <c r="W583" s="43" t="n"/>
      <c r="X583" s="43" t="n"/>
      <c r="Y583" s="43" t="n"/>
      <c r="Z583" s="43" t="n"/>
    </row>
    <row r="584">
      <c r="A584" s="43" t="n"/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  <c r="R584" s="43" t="n"/>
      <c r="S584" s="43" t="n"/>
      <c r="T584" s="43" t="n"/>
      <c r="U584" s="43" t="n"/>
      <c r="V584" s="43" t="n"/>
      <c r="W584" s="43" t="n"/>
      <c r="X584" s="43" t="n"/>
      <c r="Y584" s="43" t="n"/>
      <c r="Z584" s="43" t="n"/>
    </row>
    <row r="585">
      <c r="A585" s="43" t="n"/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  <c r="R585" s="43" t="n"/>
      <c r="S585" s="43" t="n"/>
      <c r="T585" s="43" t="n"/>
      <c r="U585" s="43" t="n"/>
      <c r="V585" s="43" t="n"/>
      <c r="W585" s="43" t="n"/>
      <c r="X585" s="43" t="n"/>
      <c r="Y585" s="43" t="n"/>
      <c r="Z585" s="43" t="n"/>
    </row>
    <row r="586">
      <c r="A586" s="43" t="n"/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  <c r="R586" s="43" t="n"/>
      <c r="S586" s="43" t="n"/>
      <c r="T586" s="43" t="n"/>
      <c r="U586" s="43" t="n"/>
      <c r="V586" s="43" t="n"/>
      <c r="W586" s="43" t="n"/>
      <c r="X586" s="43" t="n"/>
      <c r="Y586" s="43" t="n"/>
      <c r="Z586" s="43" t="n"/>
    </row>
    <row r="587">
      <c r="A587" s="43" t="n"/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  <c r="R587" s="43" t="n"/>
      <c r="S587" s="43" t="n"/>
      <c r="T587" s="43" t="n"/>
      <c r="U587" s="43" t="n"/>
      <c r="V587" s="43" t="n"/>
      <c r="W587" s="43" t="n"/>
      <c r="X587" s="43" t="n"/>
      <c r="Y587" s="43" t="n"/>
      <c r="Z587" s="43" t="n"/>
    </row>
    <row r="588">
      <c r="A588" s="43" t="n"/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  <c r="R588" s="43" t="n"/>
      <c r="S588" s="43" t="n"/>
      <c r="T588" s="43" t="n"/>
      <c r="U588" s="43" t="n"/>
      <c r="V588" s="43" t="n"/>
      <c r="W588" s="43" t="n"/>
      <c r="X588" s="43" t="n"/>
      <c r="Y588" s="43" t="n"/>
      <c r="Z588" s="43" t="n"/>
    </row>
    <row r="589">
      <c r="A589" s="43" t="n"/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  <c r="R589" s="43" t="n"/>
      <c r="S589" s="43" t="n"/>
      <c r="T589" s="43" t="n"/>
      <c r="U589" s="43" t="n"/>
      <c r="V589" s="43" t="n"/>
      <c r="W589" s="43" t="n"/>
      <c r="X589" s="43" t="n"/>
      <c r="Y589" s="43" t="n"/>
      <c r="Z589" s="43" t="n"/>
    </row>
    <row r="590">
      <c r="A590" s="43" t="n"/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  <c r="R590" s="43" t="n"/>
      <c r="S590" s="43" t="n"/>
      <c r="T590" s="43" t="n"/>
      <c r="U590" s="43" t="n"/>
      <c r="V590" s="43" t="n"/>
      <c r="W590" s="43" t="n"/>
      <c r="X590" s="43" t="n"/>
      <c r="Y590" s="43" t="n"/>
      <c r="Z590" s="43" t="n"/>
    </row>
    <row r="591">
      <c r="A591" s="43" t="n"/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  <c r="R591" s="43" t="n"/>
      <c r="S591" s="43" t="n"/>
      <c r="T591" s="43" t="n"/>
      <c r="U591" s="43" t="n"/>
      <c r="V591" s="43" t="n"/>
      <c r="W591" s="43" t="n"/>
      <c r="X591" s="43" t="n"/>
      <c r="Y591" s="43" t="n"/>
      <c r="Z591" s="43" t="n"/>
    </row>
    <row r="592">
      <c r="A592" s="43" t="n"/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  <c r="R592" s="43" t="n"/>
      <c r="S592" s="43" t="n"/>
      <c r="T592" s="43" t="n"/>
      <c r="U592" s="43" t="n"/>
      <c r="V592" s="43" t="n"/>
      <c r="W592" s="43" t="n"/>
      <c r="X592" s="43" t="n"/>
      <c r="Y592" s="43" t="n"/>
      <c r="Z592" s="43" t="n"/>
    </row>
    <row r="593">
      <c r="A593" s="43" t="n"/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  <c r="R593" s="43" t="n"/>
      <c r="S593" s="43" t="n"/>
      <c r="T593" s="43" t="n"/>
      <c r="U593" s="43" t="n"/>
      <c r="V593" s="43" t="n"/>
      <c r="W593" s="43" t="n"/>
      <c r="X593" s="43" t="n"/>
      <c r="Y593" s="43" t="n"/>
      <c r="Z593" s="43" t="n"/>
    </row>
    <row r="594">
      <c r="A594" s="43" t="n"/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  <c r="R594" s="43" t="n"/>
      <c r="S594" s="43" t="n"/>
      <c r="T594" s="43" t="n"/>
      <c r="U594" s="43" t="n"/>
      <c r="V594" s="43" t="n"/>
      <c r="W594" s="43" t="n"/>
      <c r="X594" s="43" t="n"/>
      <c r="Y594" s="43" t="n"/>
      <c r="Z594" s="43" t="n"/>
    </row>
    <row r="595">
      <c r="A595" s="43" t="n"/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  <c r="R595" s="43" t="n"/>
      <c r="S595" s="43" t="n"/>
      <c r="T595" s="43" t="n"/>
      <c r="U595" s="43" t="n"/>
      <c r="V595" s="43" t="n"/>
      <c r="W595" s="43" t="n"/>
      <c r="X595" s="43" t="n"/>
      <c r="Y595" s="43" t="n"/>
      <c r="Z595" s="43" t="n"/>
    </row>
    <row r="596">
      <c r="A596" s="43" t="n"/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  <c r="R596" s="43" t="n"/>
      <c r="S596" s="43" t="n"/>
      <c r="T596" s="43" t="n"/>
      <c r="U596" s="43" t="n"/>
      <c r="V596" s="43" t="n"/>
      <c r="W596" s="43" t="n"/>
      <c r="X596" s="43" t="n"/>
      <c r="Y596" s="43" t="n"/>
      <c r="Z596" s="43" t="n"/>
    </row>
    <row r="597">
      <c r="A597" s="43" t="n"/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  <c r="R597" s="43" t="n"/>
      <c r="S597" s="43" t="n"/>
      <c r="T597" s="43" t="n"/>
      <c r="U597" s="43" t="n"/>
      <c r="V597" s="43" t="n"/>
      <c r="W597" s="43" t="n"/>
      <c r="X597" s="43" t="n"/>
      <c r="Y597" s="43" t="n"/>
      <c r="Z597" s="43" t="n"/>
    </row>
    <row r="598">
      <c r="A598" s="43" t="n"/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  <c r="R598" s="43" t="n"/>
      <c r="S598" s="43" t="n"/>
      <c r="T598" s="43" t="n"/>
      <c r="U598" s="43" t="n"/>
      <c r="V598" s="43" t="n"/>
      <c r="W598" s="43" t="n"/>
      <c r="X598" s="43" t="n"/>
      <c r="Y598" s="43" t="n"/>
      <c r="Z598" s="43" t="n"/>
    </row>
    <row r="599">
      <c r="A599" s="43" t="n"/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  <c r="R599" s="43" t="n"/>
      <c r="S599" s="43" t="n"/>
      <c r="T599" s="43" t="n"/>
      <c r="U599" s="43" t="n"/>
      <c r="V599" s="43" t="n"/>
      <c r="W599" s="43" t="n"/>
      <c r="X599" s="43" t="n"/>
      <c r="Y599" s="43" t="n"/>
      <c r="Z599" s="43" t="n"/>
    </row>
    <row r="600">
      <c r="A600" s="43" t="n"/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  <c r="R600" s="43" t="n"/>
      <c r="S600" s="43" t="n"/>
      <c r="T600" s="43" t="n"/>
      <c r="U600" s="43" t="n"/>
      <c r="V600" s="43" t="n"/>
      <c r="W600" s="43" t="n"/>
      <c r="X600" s="43" t="n"/>
      <c r="Y600" s="43" t="n"/>
      <c r="Z600" s="43" t="n"/>
    </row>
    <row r="601">
      <c r="A601" s="43" t="n"/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  <c r="R601" s="43" t="n"/>
      <c r="S601" s="43" t="n"/>
      <c r="T601" s="43" t="n"/>
      <c r="U601" s="43" t="n"/>
      <c r="V601" s="43" t="n"/>
      <c r="W601" s="43" t="n"/>
      <c r="X601" s="43" t="n"/>
      <c r="Y601" s="43" t="n"/>
      <c r="Z601" s="43" t="n"/>
    </row>
    <row r="602">
      <c r="A602" s="43" t="n"/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  <c r="R602" s="43" t="n"/>
      <c r="S602" s="43" t="n"/>
      <c r="T602" s="43" t="n"/>
      <c r="U602" s="43" t="n"/>
      <c r="V602" s="43" t="n"/>
      <c r="W602" s="43" t="n"/>
      <c r="X602" s="43" t="n"/>
      <c r="Y602" s="43" t="n"/>
      <c r="Z602" s="43" t="n"/>
    </row>
    <row r="603">
      <c r="A603" s="43" t="n"/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  <c r="R603" s="43" t="n"/>
      <c r="S603" s="43" t="n"/>
      <c r="T603" s="43" t="n"/>
      <c r="U603" s="43" t="n"/>
      <c r="V603" s="43" t="n"/>
      <c r="W603" s="43" t="n"/>
      <c r="X603" s="43" t="n"/>
      <c r="Y603" s="43" t="n"/>
      <c r="Z603" s="43" t="n"/>
    </row>
    <row r="604">
      <c r="A604" s="43" t="n"/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  <c r="R604" s="43" t="n"/>
      <c r="S604" s="43" t="n"/>
      <c r="T604" s="43" t="n"/>
      <c r="U604" s="43" t="n"/>
      <c r="V604" s="43" t="n"/>
      <c r="W604" s="43" t="n"/>
      <c r="X604" s="43" t="n"/>
      <c r="Y604" s="43" t="n"/>
      <c r="Z604" s="43" t="n"/>
    </row>
    <row r="605">
      <c r="A605" s="43" t="n"/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  <c r="R605" s="43" t="n"/>
      <c r="S605" s="43" t="n"/>
      <c r="T605" s="43" t="n"/>
      <c r="U605" s="43" t="n"/>
      <c r="V605" s="43" t="n"/>
      <c r="W605" s="43" t="n"/>
      <c r="X605" s="43" t="n"/>
      <c r="Y605" s="43" t="n"/>
      <c r="Z605" s="43" t="n"/>
    </row>
    <row r="606">
      <c r="A606" s="43" t="n"/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  <c r="R606" s="43" t="n"/>
      <c r="S606" s="43" t="n"/>
      <c r="T606" s="43" t="n"/>
      <c r="U606" s="43" t="n"/>
      <c r="V606" s="43" t="n"/>
      <c r="W606" s="43" t="n"/>
      <c r="X606" s="43" t="n"/>
      <c r="Y606" s="43" t="n"/>
      <c r="Z606" s="43" t="n"/>
    </row>
    <row r="607">
      <c r="A607" s="43" t="n"/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  <c r="R607" s="43" t="n"/>
      <c r="S607" s="43" t="n"/>
      <c r="T607" s="43" t="n"/>
      <c r="U607" s="43" t="n"/>
      <c r="V607" s="43" t="n"/>
      <c r="W607" s="43" t="n"/>
      <c r="X607" s="43" t="n"/>
      <c r="Y607" s="43" t="n"/>
      <c r="Z607" s="43" t="n"/>
    </row>
    <row r="608">
      <c r="A608" s="43" t="n"/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  <c r="R608" s="43" t="n"/>
      <c r="S608" s="43" t="n"/>
      <c r="T608" s="43" t="n"/>
      <c r="U608" s="43" t="n"/>
      <c r="V608" s="43" t="n"/>
      <c r="W608" s="43" t="n"/>
      <c r="X608" s="43" t="n"/>
      <c r="Y608" s="43" t="n"/>
      <c r="Z608" s="43" t="n"/>
    </row>
    <row r="609">
      <c r="A609" s="43" t="n"/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  <c r="R609" s="43" t="n"/>
      <c r="S609" s="43" t="n"/>
      <c r="T609" s="43" t="n"/>
      <c r="U609" s="43" t="n"/>
      <c r="V609" s="43" t="n"/>
      <c r="W609" s="43" t="n"/>
      <c r="X609" s="43" t="n"/>
      <c r="Y609" s="43" t="n"/>
      <c r="Z609" s="43" t="n"/>
    </row>
    <row r="610">
      <c r="A610" s="43" t="n"/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  <c r="R610" s="43" t="n"/>
      <c r="S610" s="43" t="n"/>
      <c r="T610" s="43" t="n"/>
      <c r="U610" s="43" t="n"/>
      <c r="V610" s="43" t="n"/>
      <c r="W610" s="43" t="n"/>
      <c r="X610" s="43" t="n"/>
      <c r="Y610" s="43" t="n"/>
      <c r="Z610" s="43" t="n"/>
    </row>
    <row r="611">
      <c r="A611" s="43" t="n"/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  <c r="R611" s="43" t="n"/>
      <c r="S611" s="43" t="n"/>
      <c r="T611" s="43" t="n"/>
      <c r="U611" s="43" t="n"/>
      <c r="V611" s="43" t="n"/>
      <c r="W611" s="43" t="n"/>
      <c r="X611" s="43" t="n"/>
      <c r="Y611" s="43" t="n"/>
      <c r="Z611" s="43" t="n"/>
    </row>
    <row r="612">
      <c r="A612" s="43" t="n"/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  <c r="R612" s="43" t="n"/>
      <c r="S612" s="43" t="n"/>
      <c r="T612" s="43" t="n"/>
      <c r="U612" s="43" t="n"/>
      <c r="V612" s="43" t="n"/>
      <c r="W612" s="43" t="n"/>
      <c r="X612" s="43" t="n"/>
      <c r="Y612" s="43" t="n"/>
      <c r="Z612" s="43" t="n"/>
    </row>
    <row r="613">
      <c r="A613" s="43" t="n"/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  <c r="R613" s="43" t="n"/>
      <c r="S613" s="43" t="n"/>
      <c r="T613" s="43" t="n"/>
      <c r="U613" s="43" t="n"/>
      <c r="V613" s="43" t="n"/>
      <c r="W613" s="43" t="n"/>
      <c r="X613" s="43" t="n"/>
      <c r="Y613" s="43" t="n"/>
      <c r="Z613" s="43" t="n"/>
    </row>
    <row r="614">
      <c r="A614" s="43" t="n"/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  <c r="R614" s="43" t="n"/>
      <c r="S614" s="43" t="n"/>
      <c r="T614" s="43" t="n"/>
      <c r="U614" s="43" t="n"/>
      <c r="V614" s="43" t="n"/>
      <c r="W614" s="43" t="n"/>
      <c r="X614" s="43" t="n"/>
      <c r="Y614" s="43" t="n"/>
      <c r="Z614" s="43" t="n"/>
    </row>
    <row r="615">
      <c r="A615" s="43" t="n"/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  <c r="R615" s="43" t="n"/>
      <c r="S615" s="43" t="n"/>
      <c r="T615" s="43" t="n"/>
      <c r="U615" s="43" t="n"/>
      <c r="V615" s="43" t="n"/>
      <c r="W615" s="43" t="n"/>
      <c r="X615" s="43" t="n"/>
      <c r="Y615" s="43" t="n"/>
      <c r="Z615" s="43" t="n"/>
    </row>
    <row r="616">
      <c r="A616" s="43" t="n"/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  <c r="R616" s="43" t="n"/>
      <c r="S616" s="43" t="n"/>
      <c r="T616" s="43" t="n"/>
      <c r="U616" s="43" t="n"/>
      <c r="V616" s="43" t="n"/>
      <c r="W616" s="43" t="n"/>
      <c r="X616" s="43" t="n"/>
      <c r="Y616" s="43" t="n"/>
      <c r="Z616" s="43" t="n"/>
    </row>
    <row r="617">
      <c r="A617" s="43" t="n"/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  <c r="R617" s="43" t="n"/>
      <c r="S617" s="43" t="n"/>
      <c r="T617" s="43" t="n"/>
      <c r="U617" s="43" t="n"/>
      <c r="V617" s="43" t="n"/>
      <c r="W617" s="43" t="n"/>
      <c r="X617" s="43" t="n"/>
      <c r="Y617" s="43" t="n"/>
      <c r="Z617" s="43" t="n"/>
    </row>
    <row r="618">
      <c r="A618" s="43" t="n"/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  <c r="R618" s="43" t="n"/>
      <c r="S618" s="43" t="n"/>
      <c r="T618" s="43" t="n"/>
      <c r="U618" s="43" t="n"/>
      <c r="V618" s="43" t="n"/>
      <c r="W618" s="43" t="n"/>
      <c r="X618" s="43" t="n"/>
      <c r="Y618" s="43" t="n"/>
      <c r="Z618" s="43" t="n"/>
    </row>
    <row r="619">
      <c r="A619" s="43" t="n"/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  <c r="R619" s="43" t="n"/>
      <c r="S619" s="43" t="n"/>
      <c r="T619" s="43" t="n"/>
      <c r="U619" s="43" t="n"/>
      <c r="V619" s="43" t="n"/>
      <c r="W619" s="43" t="n"/>
      <c r="X619" s="43" t="n"/>
      <c r="Y619" s="43" t="n"/>
      <c r="Z619" s="43" t="n"/>
    </row>
    <row r="620">
      <c r="A620" s="43" t="n"/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  <c r="R620" s="43" t="n"/>
      <c r="S620" s="43" t="n"/>
      <c r="T620" s="43" t="n"/>
      <c r="U620" s="43" t="n"/>
      <c r="V620" s="43" t="n"/>
      <c r="W620" s="43" t="n"/>
      <c r="X620" s="43" t="n"/>
      <c r="Y620" s="43" t="n"/>
      <c r="Z620" s="43" t="n"/>
    </row>
    <row r="621">
      <c r="A621" s="43" t="n"/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  <c r="R621" s="43" t="n"/>
      <c r="S621" s="43" t="n"/>
      <c r="T621" s="43" t="n"/>
      <c r="U621" s="43" t="n"/>
      <c r="V621" s="43" t="n"/>
      <c r="W621" s="43" t="n"/>
      <c r="X621" s="43" t="n"/>
      <c r="Y621" s="43" t="n"/>
      <c r="Z621" s="43" t="n"/>
    </row>
    <row r="622">
      <c r="A622" s="43" t="n"/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  <c r="R622" s="43" t="n"/>
      <c r="S622" s="43" t="n"/>
      <c r="T622" s="43" t="n"/>
      <c r="U622" s="43" t="n"/>
      <c r="V622" s="43" t="n"/>
      <c r="W622" s="43" t="n"/>
      <c r="X622" s="43" t="n"/>
      <c r="Y622" s="43" t="n"/>
      <c r="Z622" s="43" t="n"/>
    </row>
    <row r="623">
      <c r="A623" s="43" t="n"/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  <c r="R623" s="43" t="n"/>
      <c r="S623" s="43" t="n"/>
      <c r="T623" s="43" t="n"/>
      <c r="U623" s="43" t="n"/>
      <c r="V623" s="43" t="n"/>
      <c r="W623" s="43" t="n"/>
      <c r="X623" s="43" t="n"/>
      <c r="Y623" s="43" t="n"/>
      <c r="Z623" s="43" t="n"/>
    </row>
    <row r="624">
      <c r="A624" s="43" t="n"/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  <c r="R624" s="43" t="n"/>
      <c r="S624" s="43" t="n"/>
      <c r="T624" s="43" t="n"/>
      <c r="U624" s="43" t="n"/>
      <c r="V624" s="43" t="n"/>
      <c r="W624" s="43" t="n"/>
      <c r="X624" s="43" t="n"/>
      <c r="Y624" s="43" t="n"/>
      <c r="Z624" s="43" t="n"/>
    </row>
    <row r="625">
      <c r="A625" s="43" t="n"/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  <c r="R625" s="43" t="n"/>
      <c r="S625" s="43" t="n"/>
      <c r="T625" s="43" t="n"/>
      <c r="U625" s="43" t="n"/>
      <c r="V625" s="43" t="n"/>
      <c r="W625" s="43" t="n"/>
      <c r="X625" s="43" t="n"/>
      <c r="Y625" s="43" t="n"/>
      <c r="Z625" s="43" t="n"/>
    </row>
    <row r="626">
      <c r="A626" s="43" t="n"/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  <c r="R626" s="43" t="n"/>
      <c r="S626" s="43" t="n"/>
      <c r="T626" s="43" t="n"/>
      <c r="U626" s="43" t="n"/>
      <c r="V626" s="43" t="n"/>
      <c r="W626" s="43" t="n"/>
      <c r="X626" s="43" t="n"/>
      <c r="Y626" s="43" t="n"/>
      <c r="Z626" s="43" t="n"/>
    </row>
    <row r="627">
      <c r="A627" s="43" t="n"/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  <c r="R627" s="43" t="n"/>
      <c r="S627" s="43" t="n"/>
      <c r="T627" s="43" t="n"/>
      <c r="U627" s="43" t="n"/>
      <c r="V627" s="43" t="n"/>
      <c r="W627" s="43" t="n"/>
      <c r="X627" s="43" t="n"/>
      <c r="Y627" s="43" t="n"/>
      <c r="Z627" s="43" t="n"/>
    </row>
    <row r="628">
      <c r="A628" s="43" t="n"/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  <c r="R628" s="43" t="n"/>
      <c r="S628" s="43" t="n"/>
      <c r="T628" s="43" t="n"/>
      <c r="U628" s="43" t="n"/>
      <c r="V628" s="43" t="n"/>
      <c r="W628" s="43" t="n"/>
      <c r="X628" s="43" t="n"/>
      <c r="Y628" s="43" t="n"/>
      <c r="Z628" s="43" t="n"/>
    </row>
    <row r="629">
      <c r="A629" s="43" t="n"/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  <c r="R629" s="43" t="n"/>
      <c r="S629" s="43" t="n"/>
      <c r="T629" s="43" t="n"/>
      <c r="U629" s="43" t="n"/>
      <c r="V629" s="43" t="n"/>
      <c r="W629" s="43" t="n"/>
      <c r="X629" s="43" t="n"/>
      <c r="Y629" s="43" t="n"/>
      <c r="Z629" s="43" t="n"/>
    </row>
    <row r="630">
      <c r="A630" s="43" t="n"/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  <c r="R630" s="43" t="n"/>
      <c r="S630" s="43" t="n"/>
      <c r="T630" s="43" t="n"/>
      <c r="U630" s="43" t="n"/>
      <c r="V630" s="43" t="n"/>
      <c r="W630" s="43" t="n"/>
      <c r="X630" s="43" t="n"/>
      <c r="Y630" s="43" t="n"/>
      <c r="Z630" s="43" t="n"/>
    </row>
    <row r="631">
      <c r="A631" s="43" t="n"/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  <c r="R631" s="43" t="n"/>
      <c r="S631" s="43" t="n"/>
      <c r="T631" s="43" t="n"/>
      <c r="U631" s="43" t="n"/>
      <c r="V631" s="43" t="n"/>
      <c r="W631" s="43" t="n"/>
      <c r="X631" s="43" t="n"/>
      <c r="Y631" s="43" t="n"/>
      <c r="Z631" s="43" t="n"/>
    </row>
    <row r="632">
      <c r="A632" s="43" t="n"/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  <c r="R632" s="43" t="n"/>
      <c r="S632" s="43" t="n"/>
      <c r="T632" s="43" t="n"/>
      <c r="U632" s="43" t="n"/>
      <c r="V632" s="43" t="n"/>
      <c r="W632" s="43" t="n"/>
      <c r="X632" s="43" t="n"/>
      <c r="Y632" s="43" t="n"/>
      <c r="Z632" s="43" t="n"/>
    </row>
    <row r="633">
      <c r="A633" s="43" t="n"/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  <c r="R633" s="43" t="n"/>
      <c r="S633" s="43" t="n"/>
      <c r="T633" s="43" t="n"/>
      <c r="U633" s="43" t="n"/>
      <c r="V633" s="43" t="n"/>
      <c r="W633" s="43" t="n"/>
      <c r="X633" s="43" t="n"/>
      <c r="Y633" s="43" t="n"/>
      <c r="Z633" s="43" t="n"/>
    </row>
    <row r="634">
      <c r="A634" s="43" t="n"/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  <c r="R634" s="43" t="n"/>
      <c r="S634" s="43" t="n"/>
      <c r="T634" s="43" t="n"/>
      <c r="U634" s="43" t="n"/>
      <c r="V634" s="43" t="n"/>
      <c r="W634" s="43" t="n"/>
      <c r="X634" s="43" t="n"/>
      <c r="Y634" s="43" t="n"/>
      <c r="Z634" s="43" t="n"/>
    </row>
    <row r="635">
      <c r="A635" s="43" t="n"/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  <c r="R635" s="43" t="n"/>
      <c r="S635" s="43" t="n"/>
      <c r="T635" s="43" t="n"/>
      <c r="U635" s="43" t="n"/>
      <c r="V635" s="43" t="n"/>
      <c r="W635" s="43" t="n"/>
      <c r="X635" s="43" t="n"/>
      <c r="Y635" s="43" t="n"/>
      <c r="Z635" s="43" t="n"/>
    </row>
    <row r="636">
      <c r="A636" s="43" t="n"/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  <c r="R636" s="43" t="n"/>
      <c r="S636" s="43" t="n"/>
      <c r="T636" s="43" t="n"/>
      <c r="U636" s="43" t="n"/>
      <c r="V636" s="43" t="n"/>
      <c r="W636" s="43" t="n"/>
      <c r="X636" s="43" t="n"/>
      <c r="Y636" s="43" t="n"/>
      <c r="Z636" s="43" t="n"/>
    </row>
    <row r="637">
      <c r="A637" s="43" t="n"/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  <c r="R637" s="43" t="n"/>
      <c r="S637" s="43" t="n"/>
      <c r="T637" s="43" t="n"/>
      <c r="U637" s="43" t="n"/>
      <c r="V637" s="43" t="n"/>
      <c r="W637" s="43" t="n"/>
      <c r="X637" s="43" t="n"/>
      <c r="Y637" s="43" t="n"/>
      <c r="Z637" s="43" t="n"/>
    </row>
    <row r="638">
      <c r="A638" s="43" t="n"/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  <c r="R638" s="43" t="n"/>
      <c r="S638" s="43" t="n"/>
      <c r="T638" s="43" t="n"/>
      <c r="U638" s="43" t="n"/>
      <c r="V638" s="43" t="n"/>
      <c r="W638" s="43" t="n"/>
      <c r="X638" s="43" t="n"/>
      <c r="Y638" s="43" t="n"/>
      <c r="Z638" s="43" t="n"/>
    </row>
    <row r="639">
      <c r="A639" s="43" t="n"/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  <c r="R639" s="43" t="n"/>
      <c r="S639" s="43" t="n"/>
      <c r="T639" s="43" t="n"/>
      <c r="U639" s="43" t="n"/>
      <c r="V639" s="43" t="n"/>
      <c r="W639" s="43" t="n"/>
      <c r="X639" s="43" t="n"/>
      <c r="Y639" s="43" t="n"/>
      <c r="Z639" s="43" t="n"/>
    </row>
    <row r="640">
      <c r="A640" s="43" t="n"/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  <c r="R640" s="43" t="n"/>
      <c r="S640" s="43" t="n"/>
      <c r="T640" s="43" t="n"/>
      <c r="U640" s="43" t="n"/>
      <c r="V640" s="43" t="n"/>
      <c r="W640" s="43" t="n"/>
      <c r="X640" s="43" t="n"/>
      <c r="Y640" s="43" t="n"/>
      <c r="Z640" s="43" t="n"/>
    </row>
    <row r="641">
      <c r="A641" s="43" t="n"/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  <c r="R641" s="43" t="n"/>
      <c r="S641" s="43" t="n"/>
      <c r="T641" s="43" t="n"/>
      <c r="U641" s="43" t="n"/>
      <c r="V641" s="43" t="n"/>
      <c r="W641" s="43" t="n"/>
      <c r="X641" s="43" t="n"/>
      <c r="Y641" s="43" t="n"/>
      <c r="Z641" s="43" t="n"/>
    </row>
    <row r="642">
      <c r="A642" s="43" t="n"/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  <c r="R642" s="43" t="n"/>
      <c r="S642" s="43" t="n"/>
      <c r="T642" s="43" t="n"/>
      <c r="U642" s="43" t="n"/>
      <c r="V642" s="43" t="n"/>
      <c r="W642" s="43" t="n"/>
      <c r="X642" s="43" t="n"/>
      <c r="Y642" s="43" t="n"/>
      <c r="Z642" s="43" t="n"/>
    </row>
    <row r="643">
      <c r="A643" s="43" t="n"/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  <c r="R643" s="43" t="n"/>
      <c r="S643" s="43" t="n"/>
      <c r="T643" s="43" t="n"/>
      <c r="U643" s="43" t="n"/>
      <c r="V643" s="43" t="n"/>
      <c r="W643" s="43" t="n"/>
      <c r="X643" s="43" t="n"/>
      <c r="Y643" s="43" t="n"/>
      <c r="Z643" s="43" t="n"/>
    </row>
    <row r="644">
      <c r="A644" s="43" t="n"/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  <c r="R644" s="43" t="n"/>
      <c r="S644" s="43" t="n"/>
      <c r="T644" s="43" t="n"/>
      <c r="U644" s="43" t="n"/>
      <c r="V644" s="43" t="n"/>
      <c r="W644" s="43" t="n"/>
      <c r="X644" s="43" t="n"/>
      <c r="Y644" s="43" t="n"/>
      <c r="Z644" s="43" t="n"/>
    </row>
    <row r="645">
      <c r="A645" s="43" t="n"/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  <c r="R645" s="43" t="n"/>
      <c r="S645" s="43" t="n"/>
      <c r="T645" s="43" t="n"/>
      <c r="U645" s="43" t="n"/>
      <c r="V645" s="43" t="n"/>
      <c r="W645" s="43" t="n"/>
      <c r="X645" s="43" t="n"/>
      <c r="Y645" s="43" t="n"/>
      <c r="Z645" s="43" t="n"/>
    </row>
    <row r="646">
      <c r="A646" s="43" t="n"/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  <c r="R646" s="43" t="n"/>
      <c r="S646" s="43" t="n"/>
      <c r="T646" s="43" t="n"/>
      <c r="U646" s="43" t="n"/>
      <c r="V646" s="43" t="n"/>
      <c r="W646" s="43" t="n"/>
      <c r="X646" s="43" t="n"/>
      <c r="Y646" s="43" t="n"/>
      <c r="Z646" s="43" t="n"/>
    </row>
    <row r="647">
      <c r="A647" s="43" t="n"/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  <c r="R647" s="43" t="n"/>
      <c r="S647" s="43" t="n"/>
      <c r="T647" s="43" t="n"/>
      <c r="U647" s="43" t="n"/>
      <c r="V647" s="43" t="n"/>
      <c r="W647" s="43" t="n"/>
      <c r="X647" s="43" t="n"/>
      <c r="Y647" s="43" t="n"/>
      <c r="Z647" s="43" t="n"/>
    </row>
    <row r="648">
      <c r="A648" s="43" t="n"/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  <c r="R648" s="43" t="n"/>
      <c r="S648" s="43" t="n"/>
      <c r="T648" s="43" t="n"/>
      <c r="U648" s="43" t="n"/>
      <c r="V648" s="43" t="n"/>
      <c r="W648" s="43" t="n"/>
      <c r="X648" s="43" t="n"/>
      <c r="Y648" s="43" t="n"/>
      <c r="Z648" s="43" t="n"/>
    </row>
    <row r="649">
      <c r="A649" s="43" t="n"/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  <c r="R649" s="43" t="n"/>
      <c r="S649" s="43" t="n"/>
      <c r="T649" s="43" t="n"/>
      <c r="U649" s="43" t="n"/>
      <c r="V649" s="43" t="n"/>
      <c r="W649" s="43" t="n"/>
      <c r="X649" s="43" t="n"/>
      <c r="Y649" s="43" t="n"/>
      <c r="Z649" s="43" t="n"/>
    </row>
    <row r="650">
      <c r="A650" s="43" t="n"/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  <c r="R650" s="43" t="n"/>
      <c r="S650" s="43" t="n"/>
      <c r="T650" s="43" t="n"/>
      <c r="U650" s="43" t="n"/>
      <c r="V650" s="43" t="n"/>
      <c r="W650" s="43" t="n"/>
      <c r="X650" s="43" t="n"/>
      <c r="Y650" s="43" t="n"/>
      <c r="Z650" s="43" t="n"/>
    </row>
    <row r="651">
      <c r="A651" s="43" t="n"/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  <c r="R651" s="43" t="n"/>
      <c r="S651" s="43" t="n"/>
      <c r="T651" s="43" t="n"/>
      <c r="U651" s="43" t="n"/>
      <c r="V651" s="43" t="n"/>
      <c r="W651" s="43" t="n"/>
      <c r="X651" s="43" t="n"/>
      <c r="Y651" s="43" t="n"/>
      <c r="Z651" s="43" t="n"/>
    </row>
    <row r="652">
      <c r="A652" s="43" t="n"/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  <c r="R652" s="43" t="n"/>
      <c r="S652" s="43" t="n"/>
      <c r="T652" s="43" t="n"/>
      <c r="U652" s="43" t="n"/>
      <c r="V652" s="43" t="n"/>
      <c r="W652" s="43" t="n"/>
      <c r="X652" s="43" t="n"/>
      <c r="Y652" s="43" t="n"/>
      <c r="Z652" s="43" t="n"/>
    </row>
    <row r="653">
      <c r="A653" s="43" t="n"/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  <c r="R653" s="43" t="n"/>
      <c r="S653" s="43" t="n"/>
      <c r="T653" s="43" t="n"/>
      <c r="U653" s="43" t="n"/>
      <c r="V653" s="43" t="n"/>
      <c r="W653" s="43" t="n"/>
      <c r="X653" s="43" t="n"/>
      <c r="Y653" s="43" t="n"/>
      <c r="Z653" s="43" t="n"/>
    </row>
    <row r="654">
      <c r="A654" s="43" t="n"/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  <c r="R654" s="43" t="n"/>
      <c r="S654" s="43" t="n"/>
      <c r="T654" s="43" t="n"/>
      <c r="U654" s="43" t="n"/>
      <c r="V654" s="43" t="n"/>
      <c r="W654" s="43" t="n"/>
      <c r="X654" s="43" t="n"/>
      <c r="Y654" s="43" t="n"/>
      <c r="Z654" s="43" t="n"/>
    </row>
    <row r="655">
      <c r="A655" s="43" t="n"/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  <c r="R655" s="43" t="n"/>
      <c r="S655" s="43" t="n"/>
      <c r="T655" s="43" t="n"/>
      <c r="U655" s="43" t="n"/>
      <c r="V655" s="43" t="n"/>
      <c r="W655" s="43" t="n"/>
      <c r="X655" s="43" t="n"/>
      <c r="Y655" s="43" t="n"/>
      <c r="Z655" s="43" t="n"/>
    </row>
    <row r="656">
      <c r="A656" s="43" t="n"/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  <c r="R656" s="43" t="n"/>
      <c r="S656" s="43" t="n"/>
      <c r="T656" s="43" t="n"/>
      <c r="U656" s="43" t="n"/>
      <c r="V656" s="43" t="n"/>
      <c r="W656" s="43" t="n"/>
      <c r="X656" s="43" t="n"/>
      <c r="Y656" s="43" t="n"/>
      <c r="Z656" s="43" t="n"/>
    </row>
    <row r="657">
      <c r="A657" s="43" t="n"/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  <c r="R657" s="43" t="n"/>
      <c r="S657" s="43" t="n"/>
      <c r="T657" s="43" t="n"/>
      <c r="U657" s="43" t="n"/>
      <c r="V657" s="43" t="n"/>
      <c r="W657" s="43" t="n"/>
      <c r="X657" s="43" t="n"/>
      <c r="Y657" s="43" t="n"/>
      <c r="Z657" s="43" t="n"/>
    </row>
    <row r="658">
      <c r="A658" s="43" t="n"/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  <c r="R658" s="43" t="n"/>
      <c r="S658" s="43" t="n"/>
      <c r="T658" s="43" t="n"/>
      <c r="U658" s="43" t="n"/>
      <c r="V658" s="43" t="n"/>
      <c r="W658" s="43" t="n"/>
      <c r="X658" s="43" t="n"/>
      <c r="Y658" s="43" t="n"/>
      <c r="Z658" s="43" t="n"/>
    </row>
    <row r="659">
      <c r="A659" s="43" t="n"/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  <c r="R659" s="43" t="n"/>
      <c r="S659" s="43" t="n"/>
      <c r="T659" s="43" t="n"/>
      <c r="U659" s="43" t="n"/>
      <c r="V659" s="43" t="n"/>
      <c r="W659" s="43" t="n"/>
      <c r="X659" s="43" t="n"/>
      <c r="Y659" s="43" t="n"/>
      <c r="Z659" s="43" t="n"/>
    </row>
    <row r="660">
      <c r="A660" s="43" t="n"/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  <c r="R660" s="43" t="n"/>
      <c r="S660" s="43" t="n"/>
      <c r="T660" s="43" t="n"/>
      <c r="U660" s="43" t="n"/>
      <c r="V660" s="43" t="n"/>
      <c r="W660" s="43" t="n"/>
      <c r="X660" s="43" t="n"/>
      <c r="Y660" s="43" t="n"/>
      <c r="Z660" s="43" t="n"/>
    </row>
    <row r="661">
      <c r="A661" s="43" t="n"/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  <c r="R661" s="43" t="n"/>
      <c r="S661" s="43" t="n"/>
      <c r="T661" s="43" t="n"/>
      <c r="U661" s="43" t="n"/>
      <c r="V661" s="43" t="n"/>
      <c r="W661" s="43" t="n"/>
      <c r="X661" s="43" t="n"/>
      <c r="Y661" s="43" t="n"/>
      <c r="Z661" s="43" t="n"/>
    </row>
    <row r="662">
      <c r="A662" s="43" t="n"/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  <c r="R662" s="43" t="n"/>
      <c r="S662" s="43" t="n"/>
      <c r="T662" s="43" t="n"/>
      <c r="U662" s="43" t="n"/>
      <c r="V662" s="43" t="n"/>
      <c r="W662" s="43" t="n"/>
      <c r="X662" s="43" t="n"/>
      <c r="Y662" s="43" t="n"/>
      <c r="Z662" s="43" t="n"/>
    </row>
    <row r="663">
      <c r="A663" s="43" t="n"/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  <c r="R663" s="43" t="n"/>
      <c r="S663" s="43" t="n"/>
      <c r="T663" s="43" t="n"/>
      <c r="U663" s="43" t="n"/>
      <c r="V663" s="43" t="n"/>
      <c r="W663" s="43" t="n"/>
      <c r="X663" s="43" t="n"/>
      <c r="Y663" s="43" t="n"/>
      <c r="Z663" s="43" t="n"/>
    </row>
    <row r="664">
      <c r="A664" s="43" t="n"/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  <c r="R664" s="43" t="n"/>
      <c r="S664" s="43" t="n"/>
      <c r="T664" s="43" t="n"/>
      <c r="U664" s="43" t="n"/>
      <c r="V664" s="43" t="n"/>
      <c r="W664" s="43" t="n"/>
      <c r="X664" s="43" t="n"/>
      <c r="Y664" s="43" t="n"/>
      <c r="Z664" s="43" t="n"/>
    </row>
    <row r="665">
      <c r="A665" s="43" t="n"/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  <c r="R665" s="43" t="n"/>
      <c r="S665" s="43" t="n"/>
      <c r="T665" s="43" t="n"/>
      <c r="U665" s="43" t="n"/>
      <c r="V665" s="43" t="n"/>
      <c r="W665" s="43" t="n"/>
      <c r="X665" s="43" t="n"/>
      <c r="Y665" s="43" t="n"/>
      <c r="Z665" s="43" t="n"/>
    </row>
    <row r="666">
      <c r="A666" s="43" t="n"/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  <c r="R666" s="43" t="n"/>
      <c r="S666" s="43" t="n"/>
      <c r="T666" s="43" t="n"/>
      <c r="U666" s="43" t="n"/>
      <c r="V666" s="43" t="n"/>
      <c r="W666" s="43" t="n"/>
      <c r="X666" s="43" t="n"/>
      <c r="Y666" s="43" t="n"/>
      <c r="Z666" s="43" t="n"/>
    </row>
    <row r="667">
      <c r="A667" s="43" t="n"/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  <c r="R667" s="43" t="n"/>
      <c r="S667" s="43" t="n"/>
      <c r="T667" s="43" t="n"/>
      <c r="U667" s="43" t="n"/>
      <c r="V667" s="43" t="n"/>
      <c r="W667" s="43" t="n"/>
      <c r="X667" s="43" t="n"/>
      <c r="Y667" s="43" t="n"/>
      <c r="Z667" s="43" t="n"/>
    </row>
    <row r="668">
      <c r="A668" s="43" t="n"/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  <c r="R668" s="43" t="n"/>
      <c r="S668" s="43" t="n"/>
      <c r="T668" s="43" t="n"/>
      <c r="U668" s="43" t="n"/>
      <c r="V668" s="43" t="n"/>
      <c r="W668" s="43" t="n"/>
      <c r="X668" s="43" t="n"/>
      <c r="Y668" s="43" t="n"/>
      <c r="Z668" s="43" t="n"/>
    </row>
    <row r="669">
      <c r="A669" s="43" t="n"/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  <c r="R669" s="43" t="n"/>
      <c r="S669" s="43" t="n"/>
      <c r="T669" s="43" t="n"/>
      <c r="U669" s="43" t="n"/>
      <c r="V669" s="43" t="n"/>
      <c r="W669" s="43" t="n"/>
      <c r="X669" s="43" t="n"/>
      <c r="Y669" s="43" t="n"/>
      <c r="Z669" s="43" t="n"/>
    </row>
    <row r="670">
      <c r="A670" s="43" t="n"/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  <c r="R670" s="43" t="n"/>
      <c r="S670" s="43" t="n"/>
      <c r="T670" s="43" t="n"/>
      <c r="U670" s="43" t="n"/>
      <c r="V670" s="43" t="n"/>
      <c r="W670" s="43" t="n"/>
      <c r="X670" s="43" t="n"/>
      <c r="Y670" s="43" t="n"/>
      <c r="Z670" s="43" t="n"/>
    </row>
    <row r="671">
      <c r="A671" s="43" t="n"/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  <c r="R671" s="43" t="n"/>
      <c r="S671" s="43" t="n"/>
      <c r="T671" s="43" t="n"/>
      <c r="U671" s="43" t="n"/>
      <c r="V671" s="43" t="n"/>
      <c r="W671" s="43" t="n"/>
      <c r="X671" s="43" t="n"/>
      <c r="Y671" s="43" t="n"/>
      <c r="Z671" s="43" t="n"/>
    </row>
    <row r="672">
      <c r="A672" s="43" t="n"/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  <c r="R672" s="43" t="n"/>
      <c r="S672" s="43" t="n"/>
      <c r="T672" s="43" t="n"/>
      <c r="U672" s="43" t="n"/>
      <c r="V672" s="43" t="n"/>
      <c r="W672" s="43" t="n"/>
      <c r="X672" s="43" t="n"/>
      <c r="Y672" s="43" t="n"/>
      <c r="Z672" s="43" t="n"/>
    </row>
    <row r="673">
      <c r="A673" s="43" t="n"/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  <c r="R673" s="43" t="n"/>
      <c r="S673" s="43" t="n"/>
      <c r="T673" s="43" t="n"/>
      <c r="U673" s="43" t="n"/>
      <c r="V673" s="43" t="n"/>
      <c r="W673" s="43" t="n"/>
      <c r="X673" s="43" t="n"/>
      <c r="Y673" s="43" t="n"/>
      <c r="Z673" s="43" t="n"/>
    </row>
    <row r="674">
      <c r="A674" s="43" t="n"/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  <c r="R674" s="43" t="n"/>
      <c r="S674" s="43" t="n"/>
      <c r="T674" s="43" t="n"/>
      <c r="U674" s="43" t="n"/>
      <c r="V674" s="43" t="n"/>
      <c r="W674" s="43" t="n"/>
      <c r="X674" s="43" t="n"/>
      <c r="Y674" s="43" t="n"/>
      <c r="Z674" s="43" t="n"/>
    </row>
    <row r="675">
      <c r="A675" s="43" t="n"/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  <c r="R675" s="43" t="n"/>
      <c r="S675" s="43" t="n"/>
      <c r="T675" s="43" t="n"/>
      <c r="U675" s="43" t="n"/>
      <c r="V675" s="43" t="n"/>
      <c r="W675" s="43" t="n"/>
      <c r="X675" s="43" t="n"/>
      <c r="Y675" s="43" t="n"/>
      <c r="Z675" s="43" t="n"/>
    </row>
    <row r="676">
      <c r="A676" s="43" t="n"/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  <c r="R676" s="43" t="n"/>
      <c r="S676" s="43" t="n"/>
      <c r="T676" s="43" t="n"/>
      <c r="U676" s="43" t="n"/>
      <c r="V676" s="43" t="n"/>
      <c r="W676" s="43" t="n"/>
      <c r="X676" s="43" t="n"/>
      <c r="Y676" s="43" t="n"/>
      <c r="Z676" s="43" t="n"/>
    </row>
    <row r="677">
      <c r="A677" s="43" t="n"/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  <c r="R677" s="43" t="n"/>
      <c r="S677" s="43" t="n"/>
      <c r="T677" s="43" t="n"/>
      <c r="U677" s="43" t="n"/>
      <c r="V677" s="43" t="n"/>
      <c r="W677" s="43" t="n"/>
      <c r="X677" s="43" t="n"/>
      <c r="Y677" s="43" t="n"/>
      <c r="Z677" s="43" t="n"/>
    </row>
    <row r="678">
      <c r="A678" s="43" t="n"/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  <c r="R678" s="43" t="n"/>
      <c r="S678" s="43" t="n"/>
      <c r="T678" s="43" t="n"/>
      <c r="U678" s="43" t="n"/>
      <c r="V678" s="43" t="n"/>
      <c r="W678" s="43" t="n"/>
      <c r="X678" s="43" t="n"/>
      <c r="Y678" s="43" t="n"/>
      <c r="Z678" s="43" t="n"/>
    </row>
    <row r="679">
      <c r="A679" s="43" t="n"/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  <c r="R679" s="43" t="n"/>
      <c r="S679" s="43" t="n"/>
      <c r="T679" s="43" t="n"/>
      <c r="U679" s="43" t="n"/>
      <c r="V679" s="43" t="n"/>
      <c r="W679" s="43" t="n"/>
      <c r="X679" s="43" t="n"/>
      <c r="Y679" s="43" t="n"/>
      <c r="Z679" s="43" t="n"/>
    </row>
    <row r="680">
      <c r="A680" s="43" t="n"/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  <c r="R680" s="43" t="n"/>
      <c r="S680" s="43" t="n"/>
      <c r="T680" s="43" t="n"/>
      <c r="U680" s="43" t="n"/>
      <c r="V680" s="43" t="n"/>
      <c r="W680" s="43" t="n"/>
      <c r="X680" s="43" t="n"/>
      <c r="Y680" s="43" t="n"/>
      <c r="Z680" s="43" t="n"/>
    </row>
    <row r="681">
      <c r="A681" s="43" t="n"/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  <c r="R681" s="43" t="n"/>
      <c r="S681" s="43" t="n"/>
      <c r="T681" s="43" t="n"/>
      <c r="U681" s="43" t="n"/>
      <c r="V681" s="43" t="n"/>
      <c r="W681" s="43" t="n"/>
      <c r="X681" s="43" t="n"/>
      <c r="Y681" s="43" t="n"/>
      <c r="Z681" s="43" t="n"/>
    </row>
    <row r="682">
      <c r="A682" s="43" t="n"/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  <c r="R682" s="43" t="n"/>
      <c r="S682" s="43" t="n"/>
      <c r="T682" s="43" t="n"/>
      <c r="U682" s="43" t="n"/>
      <c r="V682" s="43" t="n"/>
      <c r="W682" s="43" t="n"/>
      <c r="X682" s="43" t="n"/>
      <c r="Y682" s="43" t="n"/>
      <c r="Z682" s="43" t="n"/>
    </row>
    <row r="683">
      <c r="A683" s="43" t="n"/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  <c r="R683" s="43" t="n"/>
      <c r="S683" s="43" t="n"/>
      <c r="T683" s="43" t="n"/>
      <c r="U683" s="43" t="n"/>
      <c r="V683" s="43" t="n"/>
      <c r="W683" s="43" t="n"/>
      <c r="X683" s="43" t="n"/>
      <c r="Y683" s="43" t="n"/>
      <c r="Z683" s="43" t="n"/>
    </row>
    <row r="684">
      <c r="A684" s="43" t="n"/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  <c r="R684" s="43" t="n"/>
      <c r="S684" s="43" t="n"/>
      <c r="T684" s="43" t="n"/>
      <c r="U684" s="43" t="n"/>
      <c r="V684" s="43" t="n"/>
      <c r="W684" s="43" t="n"/>
      <c r="X684" s="43" t="n"/>
      <c r="Y684" s="43" t="n"/>
      <c r="Z684" s="43" t="n"/>
    </row>
    <row r="685">
      <c r="A685" s="43" t="n"/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  <c r="R685" s="43" t="n"/>
      <c r="S685" s="43" t="n"/>
      <c r="T685" s="43" t="n"/>
      <c r="U685" s="43" t="n"/>
      <c r="V685" s="43" t="n"/>
      <c r="W685" s="43" t="n"/>
      <c r="X685" s="43" t="n"/>
      <c r="Y685" s="43" t="n"/>
      <c r="Z685" s="43" t="n"/>
    </row>
    <row r="686">
      <c r="A686" s="43" t="n"/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  <c r="R686" s="43" t="n"/>
      <c r="S686" s="43" t="n"/>
      <c r="T686" s="43" t="n"/>
      <c r="U686" s="43" t="n"/>
      <c r="V686" s="43" t="n"/>
      <c r="W686" s="43" t="n"/>
      <c r="X686" s="43" t="n"/>
      <c r="Y686" s="43" t="n"/>
      <c r="Z686" s="43" t="n"/>
    </row>
    <row r="687">
      <c r="A687" s="43" t="n"/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  <c r="R687" s="43" t="n"/>
      <c r="S687" s="43" t="n"/>
      <c r="T687" s="43" t="n"/>
      <c r="U687" s="43" t="n"/>
      <c r="V687" s="43" t="n"/>
      <c r="W687" s="43" t="n"/>
      <c r="X687" s="43" t="n"/>
      <c r="Y687" s="43" t="n"/>
      <c r="Z687" s="43" t="n"/>
    </row>
    <row r="688">
      <c r="A688" s="43" t="n"/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  <c r="R688" s="43" t="n"/>
      <c r="S688" s="43" t="n"/>
      <c r="T688" s="43" t="n"/>
      <c r="U688" s="43" t="n"/>
      <c r="V688" s="43" t="n"/>
      <c r="W688" s="43" t="n"/>
      <c r="X688" s="43" t="n"/>
      <c r="Y688" s="43" t="n"/>
      <c r="Z688" s="43" t="n"/>
    </row>
    <row r="689">
      <c r="A689" s="43" t="n"/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  <c r="R689" s="43" t="n"/>
      <c r="S689" s="43" t="n"/>
      <c r="T689" s="43" t="n"/>
      <c r="U689" s="43" t="n"/>
      <c r="V689" s="43" t="n"/>
      <c r="W689" s="43" t="n"/>
      <c r="X689" s="43" t="n"/>
      <c r="Y689" s="43" t="n"/>
      <c r="Z689" s="43" t="n"/>
    </row>
    <row r="690">
      <c r="A690" s="43" t="n"/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  <c r="R690" s="43" t="n"/>
      <c r="S690" s="43" t="n"/>
      <c r="T690" s="43" t="n"/>
      <c r="U690" s="43" t="n"/>
      <c r="V690" s="43" t="n"/>
      <c r="W690" s="43" t="n"/>
      <c r="X690" s="43" t="n"/>
      <c r="Y690" s="43" t="n"/>
      <c r="Z690" s="43" t="n"/>
    </row>
    <row r="691">
      <c r="A691" s="43" t="n"/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  <c r="R691" s="43" t="n"/>
      <c r="S691" s="43" t="n"/>
      <c r="T691" s="43" t="n"/>
      <c r="U691" s="43" t="n"/>
      <c r="V691" s="43" t="n"/>
      <c r="W691" s="43" t="n"/>
      <c r="X691" s="43" t="n"/>
      <c r="Y691" s="43" t="n"/>
      <c r="Z691" s="43" t="n"/>
    </row>
    <row r="692">
      <c r="A692" s="43" t="n"/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  <c r="R692" s="43" t="n"/>
      <c r="S692" s="43" t="n"/>
      <c r="T692" s="43" t="n"/>
      <c r="U692" s="43" t="n"/>
      <c r="V692" s="43" t="n"/>
      <c r="W692" s="43" t="n"/>
      <c r="X692" s="43" t="n"/>
      <c r="Y692" s="43" t="n"/>
      <c r="Z692" s="43" t="n"/>
    </row>
    <row r="693">
      <c r="A693" s="43" t="n"/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  <c r="R693" s="43" t="n"/>
      <c r="S693" s="43" t="n"/>
      <c r="T693" s="43" t="n"/>
      <c r="U693" s="43" t="n"/>
      <c r="V693" s="43" t="n"/>
      <c r="W693" s="43" t="n"/>
      <c r="X693" s="43" t="n"/>
      <c r="Y693" s="43" t="n"/>
      <c r="Z693" s="43" t="n"/>
    </row>
    <row r="694">
      <c r="A694" s="43" t="n"/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  <c r="R694" s="43" t="n"/>
      <c r="S694" s="43" t="n"/>
      <c r="T694" s="43" t="n"/>
      <c r="U694" s="43" t="n"/>
      <c r="V694" s="43" t="n"/>
      <c r="W694" s="43" t="n"/>
      <c r="X694" s="43" t="n"/>
      <c r="Y694" s="43" t="n"/>
      <c r="Z694" s="43" t="n"/>
    </row>
    <row r="695">
      <c r="A695" s="43" t="n"/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  <c r="R695" s="43" t="n"/>
      <c r="S695" s="43" t="n"/>
      <c r="T695" s="43" t="n"/>
      <c r="U695" s="43" t="n"/>
      <c r="V695" s="43" t="n"/>
      <c r="W695" s="43" t="n"/>
      <c r="X695" s="43" t="n"/>
      <c r="Y695" s="43" t="n"/>
      <c r="Z695" s="43" t="n"/>
    </row>
    <row r="696">
      <c r="A696" s="43" t="n"/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  <c r="R696" s="43" t="n"/>
      <c r="S696" s="43" t="n"/>
      <c r="T696" s="43" t="n"/>
      <c r="U696" s="43" t="n"/>
      <c r="V696" s="43" t="n"/>
      <c r="W696" s="43" t="n"/>
      <c r="X696" s="43" t="n"/>
      <c r="Y696" s="43" t="n"/>
      <c r="Z696" s="43" t="n"/>
    </row>
    <row r="697">
      <c r="A697" s="43" t="n"/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  <c r="R697" s="43" t="n"/>
      <c r="S697" s="43" t="n"/>
      <c r="T697" s="43" t="n"/>
      <c r="U697" s="43" t="n"/>
      <c r="V697" s="43" t="n"/>
      <c r="W697" s="43" t="n"/>
      <c r="X697" s="43" t="n"/>
      <c r="Y697" s="43" t="n"/>
      <c r="Z697" s="43" t="n"/>
    </row>
    <row r="698">
      <c r="A698" s="43" t="n"/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  <c r="R698" s="43" t="n"/>
      <c r="S698" s="43" t="n"/>
      <c r="T698" s="43" t="n"/>
      <c r="U698" s="43" t="n"/>
      <c r="V698" s="43" t="n"/>
      <c r="W698" s="43" t="n"/>
      <c r="X698" s="43" t="n"/>
      <c r="Y698" s="43" t="n"/>
      <c r="Z698" s="43" t="n"/>
    </row>
    <row r="699">
      <c r="A699" s="43" t="n"/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  <c r="R699" s="43" t="n"/>
      <c r="S699" s="43" t="n"/>
      <c r="T699" s="43" t="n"/>
      <c r="U699" s="43" t="n"/>
      <c r="V699" s="43" t="n"/>
      <c r="W699" s="43" t="n"/>
      <c r="X699" s="43" t="n"/>
      <c r="Y699" s="43" t="n"/>
      <c r="Z699" s="43" t="n"/>
    </row>
    <row r="700">
      <c r="A700" s="43" t="n"/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  <c r="R700" s="43" t="n"/>
      <c r="S700" s="43" t="n"/>
      <c r="T700" s="43" t="n"/>
      <c r="U700" s="43" t="n"/>
      <c r="V700" s="43" t="n"/>
      <c r="W700" s="43" t="n"/>
      <c r="X700" s="43" t="n"/>
      <c r="Y700" s="43" t="n"/>
      <c r="Z700" s="43" t="n"/>
    </row>
    <row r="701">
      <c r="A701" s="43" t="n"/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  <c r="R701" s="43" t="n"/>
      <c r="S701" s="43" t="n"/>
      <c r="T701" s="43" t="n"/>
      <c r="U701" s="43" t="n"/>
      <c r="V701" s="43" t="n"/>
      <c r="W701" s="43" t="n"/>
      <c r="X701" s="43" t="n"/>
      <c r="Y701" s="43" t="n"/>
      <c r="Z701" s="43" t="n"/>
    </row>
    <row r="702">
      <c r="A702" s="43" t="n"/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  <c r="R702" s="43" t="n"/>
      <c r="S702" s="43" t="n"/>
      <c r="T702" s="43" t="n"/>
      <c r="U702" s="43" t="n"/>
      <c r="V702" s="43" t="n"/>
      <c r="W702" s="43" t="n"/>
      <c r="X702" s="43" t="n"/>
      <c r="Y702" s="43" t="n"/>
      <c r="Z702" s="43" t="n"/>
    </row>
    <row r="703">
      <c r="A703" s="43" t="n"/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  <c r="R703" s="43" t="n"/>
      <c r="S703" s="43" t="n"/>
      <c r="T703" s="43" t="n"/>
      <c r="U703" s="43" t="n"/>
      <c r="V703" s="43" t="n"/>
      <c r="W703" s="43" t="n"/>
      <c r="X703" s="43" t="n"/>
      <c r="Y703" s="43" t="n"/>
      <c r="Z703" s="43" t="n"/>
    </row>
    <row r="704">
      <c r="A704" s="43" t="n"/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  <c r="R704" s="43" t="n"/>
      <c r="S704" s="43" t="n"/>
      <c r="T704" s="43" t="n"/>
      <c r="U704" s="43" t="n"/>
      <c r="V704" s="43" t="n"/>
      <c r="W704" s="43" t="n"/>
      <c r="X704" s="43" t="n"/>
      <c r="Y704" s="43" t="n"/>
      <c r="Z704" s="43" t="n"/>
    </row>
    <row r="705">
      <c r="A705" s="43" t="n"/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  <c r="R705" s="43" t="n"/>
      <c r="S705" s="43" t="n"/>
      <c r="T705" s="43" t="n"/>
      <c r="U705" s="43" t="n"/>
      <c r="V705" s="43" t="n"/>
      <c r="W705" s="43" t="n"/>
      <c r="X705" s="43" t="n"/>
      <c r="Y705" s="43" t="n"/>
      <c r="Z705" s="43" t="n"/>
    </row>
    <row r="706">
      <c r="A706" s="43" t="n"/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  <c r="R706" s="43" t="n"/>
      <c r="S706" s="43" t="n"/>
      <c r="T706" s="43" t="n"/>
      <c r="U706" s="43" t="n"/>
      <c r="V706" s="43" t="n"/>
      <c r="W706" s="43" t="n"/>
      <c r="X706" s="43" t="n"/>
      <c r="Y706" s="43" t="n"/>
      <c r="Z706" s="43" t="n"/>
    </row>
    <row r="707">
      <c r="A707" s="43" t="n"/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  <c r="R707" s="43" t="n"/>
      <c r="S707" s="43" t="n"/>
      <c r="T707" s="43" t="n"/>
      <c r="U707" s="43" t="n"/>
      <c r="V707" s="43" t="n"/>
      <c r="W707" s="43" t="n"/>
      <c r="X707" s="43" t="n"/>
      <c r="Y707" s="43" t="n"/>
      <c r="Z707" s="43" t="n"/>
    </row>
    <row r="708">
      <c r="A708" s="43" t="n"/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  <c r="R708" s="43" t="n"/>
      <c r="S708" s="43" t="n"/>
      <c r="T708" s="43" t="n"/>
      <c r="U708" s="43" t="n"/>
      <c r="V708" s="43" t="n"/>
      <c r="W708" s="43" t="n"/>
      <c r="X708" s="43" t="n"/>
      <c r="Y708" s="43" t="n"/>
      <c r="Z708" s="43" t="n"/>
    </row>
    <row r="709">
      <c r="A709" s="43" t="n"/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  <c r="R709" s="43" t="n"/>
      <c r="S709" s="43" t="n"/>
      <c r="T709" s="43" t="n"/>
      <c r="U709" s="43" t="n"/>
      <c r="V709" s="43" t="n"/>
      <c r="W709" s="43" t="n"/>
      <c r="X709" s="43" t="n"/>
      <c r="Y709" s="43" t="n"/>
      <c r="Z709" s="43" t="n"/>
    </row>
    <row r="710">
      <c r="A710" s="43" t="n"/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  <c r="R710" s="43" t="n"/>
      <c r="S710" s="43" t="n"/>
      <c r="T710" s="43" t="n"/>
      <c r="U710" s="43" t="n"/>
      <c r="V710" s="43" t="n"/>
      <c r="W710" s="43" t="n"/>
      <c r="X710" s="43" t="n"/>
      <c r="Y710" s="43" t="n"/>
      <c r="Z710" s="43" t="n"/>
    </row>
    <row r="711">
      <c r="A711" s="43" t="n"/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  <c r="R711" s="43" t="n"/>
      <c r="S711" s="43" t="n"/>
      <c r="T711" s="43" t="n"/>
      <c r="U711" s="43" t="n"/>
      <c r="V711" s="43" t="n"/>
      <c r="W711" s="43" t="n"/>
      <c r="X711" s="43" t="n"/>
      <c r="Y711" s="43" t="n"/>
      <c r="Z711" s="43" t="n"/>
    </row>
    <row r="712">
      <c r="A712" s="43" t="n"/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  <c r="R712" s="43" t="n"/>
      <c r="S712" s="43" t="n"/>
      <c r="T712" s="43" t="n"/>
      <c r="U712" s="43" t="n"/>
      <c r="V712" s="43" t="n"/>
      <c r="W712" s="43" t="n"/>
      <c r="X712" s="43" t="n"/>
      <c r="Y712" s="43" t="n"/>
      <c r="Z712" s="43" t="n"/>
    </row>
    <row r="713">
      <c r="A713" s="43" t="n"/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  <c r="R713" s="43" t="n"/>
      <c r="S713" s="43" t="n"/>
      <c r="T713" s="43" t="n"/>
      <c r="U713" s="43" t="n"/>
      <c r="V713" s="43" t="n"/>
      <c r="W713" s="43" t="n"/>
      <c r="X713" s="43" t="n"/>
      <c r="Y713" s="43" t="n"/>
      <c r="Z713" s="43" t="n"/>
    </row>
    <row r="714">
      <c r="A714" s="43" t="n"/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  <c r="R714" s="43" t="n"/>
      <c r="S714" s="43" t="n"/>
      <c r="T714" s="43" t="n"/>
      <c r="U714" s="43" t="n"/>
      <c r="V714" s="43" t="n"/>
      <c r="W714" s="43" t="n"/>
      <c r="X714" s="43" t="n"/>
      <c r="Y714" s="43" t="n"/>
      <c r="Z714" s="43" t="n"/>
    </row>
    <row r="715">
      <c r="A715" s="43" t="n"/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  <c r="R715" s="43" t="n"/>
      <c r="S715" s="43" t="n"/>
      <c r="T715" s="43" t="n"/>
      <c r="U715" s="43" t="n"/>
      <c r="V715" s="43" t="n"/>
      <c r="W715" s="43" t="n"/>
      <c r="X715" s="43" t="n"/>
      <c r="Y715" s="43" t="n"/>
      <c r="Z715" s="43" t="n"/>
    </row>
    <row r="716">
      <c r="A716" s="43" t="n"/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  <c r="R716" s="43" t="n"/>
      <c r="S716" s="43" t="n"/>
      <c r="T716" s="43" t="n"/>
      <c r="U716" s="43" t="n"/>
      <c r="V716" s="43" t="n"/>
      <c r="W716" s="43" t="n"/>
      <c r="X716" s="43" t="n"/>
      <c r="Y716" s="43" t="n"/>
      <c r="Z716" s="43" t="n"/>
    </row>
    <row r="717">
      <c r="A717" s="43" t="n"/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  <c r="R717" s="43" t="n"/>
      <c r="S717" s="43" t="n"/>
      <c r="T717" s="43" t="n"/>
      <c r="U717" s="43" t="n"/>
      <c r="V717" s="43" t="n"/>
      <c r="W717" s="43" t="n"/>
      <c r="X717" s="43" t="n"/>
      <c r="Y717" s="43" t="n"/>
      <c r="Z717" s="43" t="n"/>
    </row>
    <row r="718">
      <c r="A718" s="43" t="n"/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  <c r="R718" s="43" t="n"/>
      <c r="S718" s="43" t="n"/>
      <c r="T718" s="43" t="n"/>
      <c r="U718" s="43" t="n"/>
      <c r="V718" s="43" t="n"/>
      <c r="W718" s="43" t="n"/>
      <c r="X718" s="43" t="n"/>
      <c r="Y718" s="43" t="n"/>
      <c r="Z718" s="43" t="n"/>
    </row>
    <row r="719">
      <c r="A719" s="43" t="n"/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  <c r="R719" s="43" t="n"/>
      <c r="S719" s="43" t="n"/>
      <c r="T719" s="43" t="n"/>
      <c r="U719" s="43" t="n"/>
      <c r="V719" s="43" t="n"/>
      <c r="W719" s="43" t="n"/>
      <c r="X719" s="43" t="n"/>
      <c r="Y719" s="43" t="n"/>
      <c r="Z719" s="43" t="n"/>
    </row>
    <row r="720">
      <c r="A720" s="43" t="n"/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  <c r="R720" s="43" t="n"/>
      <c r="S720" s="43" t="n"/>
      <c r="T720" s="43" t="n"/>
      <c r="U720" s="43" t="n"/>
      <c r="V720" s="43" t="n"/>
      <c r="W720" s="43" t="n"/>
      <c r="X720" s="43" t="n"/>
      <c r="Y720" s="43" t="n"/>
      <c r="Z720" s="43" t="n"/>
    </row>
    <row r="721">
      <c r="A721" s="43" t="n"/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  <c r="R721" s="43" t="n"/>
      <c r="S721" s="43" t="n"/>
      <c r="T721" s="43" t="n"/>
      <c r="U721" s="43" t="n"/>
      <c r="V721" s="43" t="n"/>
      <c r="W721" s="43" t="n"/>
      <c r="X721" s="43" t="n"/>
      <c r="Y721" s="43" t="n"/>
      <c r="Z721" s="43" t="n"/>
    </row>
    <row r="722">
      <c r="A722" s="43" t="n"/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  <c r="R722" s="43" t="n"/>
      <c r="S722" s="43" t="n"/>
      <c r="T722" s="43" t="n"/>
      <c r="U722" s="43" t="n"/>
      <c r="V722" s="43" t="n"/>
      <c r="W722" s="43" t="n"/>
      <c r="X722" s="43" t="n"/>
      <c r="Y722" s="43" t="n"/>
      <c r="Z722" s="43" t="n"/>
    </row>
    <row r="723">
      <c r="A723" s="43" t="n"/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  <c r="R723" s="43" t="n"/>
      <c r="S723" s="43" t="n"/>
      <c r="T723" s="43" t="n"/>
      <c r="U723" s="43" t="n"/>
      <c r="V723" s="43" t="n"/>
      <c r="W723" s="43" t="n"/>
      <c r="X723" s="43" t="n"/>
      <c r="Y723" s="43" t="n"/>
      <c r="Z723" s="43" t="n"/>
    </row>
    <row r="724">
      <c r="A724" s="43" t="n"/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  <c r="R724" s="43" t="n"/>
      <c r="S724" s="43" t="n"/>
      <c r="T724" s="43" t="n"/>
      <c r="U724" s="43" t="n"/>
      <c r="V724" s="43" t="n"/>
      <c r="W724" s="43" t="n"/>
      <c r="X724" s="43" t="n"/>
      <c r="Y724" s="43" t="n"/>
      <c r="Z724" s="43" t="n"/>
    </row>
    <row r="725">
      <c r="A725" s="43" t="n"/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  <c r="R725" s="43" t="n"/>
      <c r="S725" s="43" t="n"/>
      <c r="T725" s="43" t="n"/>
      <c r="U725" s="43" t="n"/>
      <c r="V725" s="43" t="n"/>
      <c r="W725" s="43" t="n"/>
      <c r="X725" s="43" t="n"/>
      <c r="Y725" s="43" t="n"/>
      <c r="Z725" s="43" t="n"/>
    </row>
    <row r="726">
      <c r="A726" s="43" t="n"/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  <c r="R726" s="43" t="n"/>
      <c r="S726" s="43" t="n"/>
      <c r="T726" s="43" t="n"/>
      <c r="U726" s="43" t="n"/>
      <c r="V726" s="43" t="n"/>
      <c r="W726" s="43" t="n"/>
      <c r="X726" s="43" t="n"/>
      <c r="Y726" s="43" t="n"/>
      <c r="Z726" s="43" t="n"/>
    </row>
    <row r="727">
      <c r="A727" s="43" t="n"/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  <c r="R727" s="43" t="n"/>
      <c r="S727" s="43" t="n"/>
      <c r="T727" s="43" t="n"/>
      <c r="U727" s="43" t="n"/>
      <c r="V727" s="43" t="n"/>
      <c r="W727" s="43" t="n"/>
      <c r="X727" s="43" t="n"/>
      <c r="Y727" s="43" t="n"/>
      <c r="Z727" s="43" t="n"/>
    </row>
    <row r="728">
      <c r="A728" s="43" t="n"/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  <c r="R728" s="43" t="n"/>
      <c r="S728" s="43" t="n"/>
      <c r="T728" s="43" t="n"/>
      <c r="U728" s="43" t="n"/>
      <c r="V728" s="43" t="n"/>
      <c r="W728" s="43" t="n"/>
      <c r="X728" s="43" t="n"/>
      <c r="Y728" s="43" t="n"/>
      <c r="Z728" s="43" t="n"/>
    </row>
    <row r="729">
      <c r="A729" s="43" t="n"/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  <c r="R729" s="43" t="n"/>
      <c r="S729" s="43" t="n"/>
      <c r="T729" s="43" t="n"/>
      <c r="U729" s="43" t="n"/>
      <c r="V729" s="43" t="n"/>
      <c r="W729" s="43" t="n"/>
      <c r="X729" s="43" t="n"/>
      <c r="Y729" s="43" t="n"/>
      <c r="Z729" s="43" t="n"/>
    </row>
    <row r="730">
      <c r="A730" s="43" t="n"/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  <c r="R730" s="43" t="n"/>
      <c r="S730" s="43" t="n"/>
      <c r="T730" s="43" t="n"/>
      <c r="U730" s="43" t="n"/>
      <c r="V730" s="43" t="n"/>
      <c r="W730" s="43" t="n"/>
      <c r="X730" s="43" t="n"/>
      <c r="Y730" s="43" t="n"/>
      <c r="Z730" s="43" t="n"/>
    </row>
    <row r="731">
      <c r="A731" s="43" t="n"/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  <c r="R731" s="43" t="n"/>
      <c r="S731" s="43" t="n"/>
      <c r="T731" s="43" t="n"/>
      <c r="U731" s="43" t="n"/>
      <c r="V731" s="43" t="n"/>
      <c r="W731" s="43" t="n"/>
      <c r="X731" s="43" t="n"/>
      <c r="Y731" s="43" t="n"/>
      <c r="Z731" s="43" t="n"/>
    </row>
    <row r="732">
      <c r="A732" s="43" t="n"/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  <c r="R732" s="43" t="n"/>
      <c r="S732" s="43" t="n"/>
      <c r="T732" s="43" t="n"/>
      <c r="U732" s="43" t="n"/>
      <c r="V732" s="43" t="n"/>
      <c r="W732" s="43" t="n"/>
      <c r="X732" s="43" t="n"/>
      <c r="Y732" s="43" t="n"/>
      <c r="Z732" s="43" t="n"/>
    </row>
    <row r="733">
      <c r="A733" s="43" t="n"/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  <c r="R733" s="43" t="n"/>
      <c r="S733" s="43" t="n"/>
      <c r="T733" s="43" t="n"/>
      <c r="U733" s="43" t="n"/>
      <c r="V733" s="43" t="n"/>
      <c r="W733" s="43" t="n"/>
      <c r="X733" s="43" t="n"/>
      <c r="Y733" s="43" t="n"/>
      <c r="Z733" s="43" t="n"/>
    </row>
    <row r="734">
      <c r="A734" s="43" t="n"/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  <c r="R734" s="43" t="n"/>
      <c r="S734" s="43" t="n"/>
      <c r="T734" s="43" t="n"/>
      <c r="U734" s="43" t="n"/>
      <c r="V734" s="43" t="n"/>
      <c r="W734" s="43" t="n"/>
      <c r="X734" s="43" t="n"/>
      <c r="Y734" s="43" t="n"/>
      <c r="Z734" s="43" t="n"/>
    </row>
    <row r="735">
      <c r="A735" s="43" t="n"/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  <c r="R735" s="43" t="n"/>
      <c r="S735" s="43" t="n"/>
      <c r="T735" s="43" t="n"/>
      <c r="U735" s="43" t="n"/>
      <c r="V735" s="43" t="n"/>
      <c r="W735" s="43" t="n"/>
      <c r="X735" s="43" t="n"/>
      <c r="Y735" s="43" t="n"/>
      <c r="Z735" s="43" t="n"/>
    </row>
    <row r="736">
      <c r="A736" s="43" t="n"/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  <c r="R736" s="43" t="n"/>
      <c r="S736" s="43" t="n"/>
      <c r="T736" s="43" t="n"/>
      <c r="U736" s="43" t="n"/>
      <c r="V736" s="43" t="n"/>
      <c r="W736" s="43" t="n"/>
      <c r="X736" s="43" t="n"/>
      <c r="Y736" s="43" t="n"/>
      <c r="Z736" s="43" t="n"/>
    </row>
    <row r="737">
      <c r="A737" s="43" t="n"/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  <c r="R737" s="43" t="n"/>
      <c r="S737" s="43" t="n"/>
      <c r="T737" s="43" t="n"/>
      <c r="U737" s="43" t="n"/>
      <c r="V737" s="43" t="n"/>
      <c r="W737" s="43" t="n"/>
      <c r="X737" s="43" t="n"/>
      <c r="Y737" s="43" t="n"/>
      <c r="Z737" s="43" t="n"/>
    </row>
    <row r="738">
      <c r="A738" s="43" t="n"/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  <c r="R738" s="43" t="n"/>
      <c r="S738" s="43" t="n"/>
      <c r="T738" s="43" t="n"/>
      <c r="U738" s="43" t="n"/>
      <c r="V738" s="43" t="n"/>
      <c r="W738" s="43" t="n"/>
      <c r="X738" s="43" t="n"/>
      <c r="Y738" s="43" t="n"/>
      <c r="Z738" s="43" t="n"/>
    </row>
    <row r="739">
      <c r="A739" s="43" t="n"/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  <c r="R739" s="43" t="n"/>
      <c r="S739" s="43" t="n"/>
      <c r="T739" s="43" t="n"/>
      <c r="U739" s="43" t="n"/>
      <c r="V739" s="43" t="n"/>
      <c r="W739" s="43" t="n"/>
      <c r="X739" s="43" t="n"/>
      <c r="Y739" s="43" t="n"/>
      <c r="Z739" s="43" t="n"/>
    </row>
    <row r="740">
      <c r="A740" s="43" t="n"/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  <c r="R740" s="43" t="n"/>
      <c r="S740" s="43" t="n"/>
      <c r="T740" s="43" t="n"/>
      <c r="U740" s="43" t="n"/>
      <c r="V740" s="43" t="n"/>
      <c r="W740" s="43" t="n"/>
      <c r="X740" s="43" t="n"/>
      <c r="Y740" s="43" t="n"/>
      <c r="Z740" s="43" t="n"/>
    </row>
    <row r="741">
      <c r="A741" s="43" t="n"/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  <c r="R741" s="43" t="n"/>
      <c r="S741" s="43" t="n"/>
      <c r="T741" s="43" t="n"/>
      <c r="U741" s="43" t="n"/>
      <c r="V741" s="43" t="n"/>
      <c r="W741" s="43" t="n"/>
      <c r="X741" s="43" t="n"/>
      <c r="Y741" s="43" t="n"/>
      <c r="Z741" s="43" t="n"/>
    </row>
    <row r="742">
      <c r="A742" s="43" t="n"/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  <c r="R742" s="43" t="n"/>
      <c r="S742" s="43" t="n"/>
      <c r="T742" s="43" t="n"/>
      <c r="U742" s="43" t="n"/>
      <c r="V742" s="43" t="n"/>
      <c r="W742" s="43" t="n"/>
      <c r="X742" s="43" t="n"/>
      <c r="Y742" s="43" t="n"/>
      <c r="Z742" s="43" t="n"/>
    </row>
    <row r="743">
      <c r="A743" s="43" t="n"/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  <c r="R743" s="43" t="n"/>
      <c r="S743" s="43" t="n"/>
      <c r="T743" s="43" t="n"/>
      <c r="U743" s="43" t="n"/>
      <c r="V743" s="43" t="n"/>
      <c r="W743" s="43" t="n"/>
      <c r="X743" s="43" t="n"/>
      <c r="Y743" s="43" t="n"/>
      <c r="Z743" s="43" t="n"/>
    </row>
    <row r="744">
      <c r="A744" s="43" t="n"/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  <c r="R744" s="43" t="n"/>
      <c r="S744" s="43" t="n"/>
      <c r="T744" s="43" t="n"/>
      <c r="U744" s="43" t="n"/>
      <c r="V744" s="43" t="n"/>
      <c r="W744" s="43" t="n"/>
      <c r="X744" s="43" t="n"/>
      <c r="Y744" s="43" t="n"/>
      <c r="Z744" s="43" t="n"/>
    </row>
    <row r="745">
      <c r="A745" s="43" t="n"/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  <c r="R745" s="43" t="n"/>
      <c r="S745" s="43" t="n"/>
      <c r="T745" s="43" t="n"/>
      <c r="U745" s="43" t="n"/>
      <c r="V745" s="43" t="n"/>
      <c r="W745" s="43" t="n"/>
      <c r="X745" s="43" t="n"/>
      <c r="Y745" s="43" t="n"/>
      <c r="Z745" s="43" t="n"/>
    </row>
    <row r="746">
      <c r="A746" s="43" t="n"/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  <c r="R746" s="43" t="n"/>
      <c r="S746" s="43" t="n"/>
      <c r="T746" s="43" t="n"/>
      <c r="U746" s="43" t="n"/>
      <c r="V746" s="43" t="n"/>
      <c r="W746" s="43" t="n"/>
      <c r="X746" s="43" t="n"/>
      <c r="Y746" s="43" t="n"/>
      <c r="Z746" s="43" t="n"/>
    </row>
    <row r="747">
      <c r="A747" s="43" t="n"/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  <c r="R747" s="43" t="n"/>
      <c r="S747" s="43" t="n"/>
      <c r="T747" s="43" t="n"/>
      <c r="U747" s="43" t="n"/>
      <c r="V747" s="43" t="n"/>
      <c r="W747" s="43" t="n"/>
      <c r="X747" s="43" t="n"/>
      <c r="Y747" s="43" t="n"/>
      <c r="Z747" s="43" t="n"/>
    </row>
    <row r="748">
      <c r="A748" s="43" t="n"/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  <c r="R748" s="43" t="n"/>
      <c r="S748" s="43" t="n"/>
      <c r="T748" s="43" t="n"/>
      <c r="U748" s="43" t="n"/>
      <c r="V748" s="43" t="n"/>
      <c r="W748" s="43" t="n"/>
      <c r="X748" s="43" t="n"/>
      <c r="Y748" s="43" t="n"/>
      <c r="Z748" s="43" t="n"/>
    </row>
    <row r="749">
      <c r="A749" s="43" t="n"/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  <c r="R749" s="43" t="n"/>
      <c r="S749" s="43" t="n"/>
      <c r="T749" s="43" t="n"/>
      <c r="U749" s="43" t="n"/>
      <c r="V749" s="43" t="n"/>
      <c r="W749" s="43" t="n"/>
      <c r="X749" s="43" t="n"/>
      <c r="Y749" s="43" t="n"/>
      <c r="Z749" s="43" t="n"/>
    </row>
    <row r="750">
      <c r="A750" s="43" t="n"/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  <c r="R750" s="43" t="n"/>
      <c r="S750" s="43" t="n"/>
      <c r="T750" s="43" t="n"/>
      <c r="U750" s="43" t="n"/>
      <c r="V750" s="43" t="n"/>
      <c r="W750" s="43" t="n"/>
      <c r="X750" s="43" t="n"/>
      <c r="Y750" s="43" t="n"/>
      <c r="Z750" s="43" t="n"/>
    </row>
    <row r="751">
      <c r="A751" s="43" t="n"/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  <c r="R751" s="43" t="n"/>
      <c r="S751" s="43" t="n"/>
      <c r="T751" s="43" t="n"/>
      <c r="U751" s="43" t="n"/>
      <c r="V751" s="43" t="n"/>
      <c r="W751" s="43" t="n"/>
      <c r="X751" s="43" t="n"/>
      <c r="Y751" s="43" t="n"/>
      <c r="Z751" s="43" t="n"/>
    </row>
    <row r="752">
      <c r="A752" s="43" t="n"/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  <c r="R752" s="43" t="n"/>
      <c r="S752" s="43" t="n"/>
      <c r="T752" s="43" t="n"/>
      <c r="U752" s="43" t="n"/>
      <c r="V752" s="43" t="n"/>
      <c r="W752" s="43" t="n"/>
      <c r="X752" s="43" t="n"/>
      <c r="Y752" s="43" t="n"/>
      <c r="Z752" s="43" t="n"/>
    </row>
    <row r="753">
      <c r="A753" s="43" t="n"/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  <c r="R753" s="43" t="n"/>
      <c r="S753" s="43" t="n"/>
      <c r="T753" s="43" t="n"/>
      <c r="U753" s="43" t="n"/>
      <c r="V753" s="43" t="n"/>
      <c r="W753" s="43" t="n"/>
      <c r="X753" s="43" t="n"/>
      <c r="Y753" s="43" t="n"/>
      <c r="Z753" s="43" t="n"/>
    </row>
    <row r="754">
      <c r="A754" s="43" t="n"/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  <c r="R754" s="43" t="n"/>
      <c r="S754" s="43" t="n"/>
      <c r="T754" s="43" t="n"/>
      <c r="U754" s="43" t="n"/>
      <c r="V754" s="43" t="n"/>
      <c r="W754" s="43" t="n"/>
      <c r="X754" s="43" t="n"/>
      <c r="Y754" s="43" t="n"/>
      <c r="Z754" s="43" t="n"/>
    </row>
    <row r="755">
      <c r="A755" s="43" t="n"/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  <c r="R755" s="43" t="n"/>
      <c r="S755" s="43" t="n"/>
      <c r="T755" s="43" t="n"/>
      <c r="U755" s="43" t="n"/>
      <c r="V755" s="43" t="n"/>
      <c r="W755" s="43" t="n"/>
      <c r="X755" s="43" t="n"/>
      <c r="Y755" s="43" t="n"/>
      <c r="Z755" s="43" t="n"/>
    </row>
    <row r="756">
      <c r="A756" s="43" t="n"/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  <c r="R756" s="43" t="n"/>
      <c r="S756" s="43" t="n"/>
      <c r="T756" s="43" t="n"/>
      <c r="U756" s="43" t="n"/>
      <c r="V756" s="43" t="n"/>
      <c r="W756" s="43" t="n"/>
      <c r="X756" s="43" t="n"/>
      <c r="Y756" s="43" t="n"/>
      <c r="Z756" s="43" t="n"/>
    </row>
    <row r="757">
      <c r="A757" s="43" t="n"/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  <c r="R757" s="43" t="n"/>
      <c r="S757" s="43" t="n"/>
      <c r="T757" s="43" t="n"/>
      <c r="U757" s="43" t="n"/>
      <c r="V757" s="43" t="n"/>
      <c r="W757" s="43" t="n"/>
      <c r="X757" s="43" t="n"/>
      <c r="Y757" s="43" t="n"/>
      <c r="Z757" s="43" t="n"/>
    </row>
    <row r="758">
      <c r="A758" s="43" t="n"/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  <c r="R758" s="43" t="n"/>
      <c r="S758" s="43" t="n"/>
      <c r="T758" s="43" t="n"/>
      <c r="U758" s="43" t="n"/>
      <c r="V758" s="43" t="n"/>
      <c r="W758" s="43" t="n"/>
      <c r="X758" s="43" t="n"/>
      <c r="Y758" s="43" t="n"/>
      <c r="Z758" s="43" t="n"/>
    </row>
    <row r="759">
      <c r="A759" s="43" t="n"/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  <c r="R759" s="43" t="n"/>
      <c r="S759" s="43" t="n"/>
      <c r="T759" s="43" t="n"/>
      <c r="U759" s="43" t="n"/>
      <c r="V759" s="43" t="n"/>
      <c r="W759" s="43" t="n"/>
      <c r="X759" s="43" t="n"/>
      <c r="Y759" s="43" t="n"/>
      <c r="Z759" s="43" t="n"/>
    </row>
    <row r="760">
      <c r="A760" s="43" t="n"/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  <c r="R760" s="43" t="n"/>
      <c r="S760" s="43" t="n"/>
      <c r="T760" s="43" t="n"/>
      <c r="U760" s="43" t="n"/>
      <c r="V760" s="43" t="n"/>
      <c r="W760" s="43" t="n"/>
      <c r="X760" s="43" t="n"/>
      <c r="Y760" s="43" t="n"/>
      <c r="Z760" s="43" t="n"/>
    </row>
    <row r="761">
      <c r="A761" s="43" t="n"/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  <c r="R761" s="43" t="n"/>
      <c r="S761" s="43" t="n"/>
      <c r="T761" s="43" t="n"/>
      <c r="U761" s="43" t="n"/>
      <c r="V761" s="43" t="n"/>
      <c r="W761" s="43" t="n"/>
      <c r="X761" s="43" t="n"/>
      <c r="Y761" s="43" t="n"/>
      <c r="Z761" s="43" t="n"/>
    </row>
    <row r="762">
      <c r="A762" s="43" t="n"/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  <c r="R762" s="43" t="n"/>
      <c r="S762" s="43" t="n"/>
      <c r="T762" s="43" t="n"/>
      <c r="U762" s="43" t="n"/>
      <c r="V762" s="43" t="n"/>
      <c r="W762" s="43" t="n"/>
      <c r="X762" s="43" t="n"/>
      <c r="Y762" s="43" t="n"/>
      <c r="Z762" s="43" t="n"/>
    </row>
    <row r="763">
      <c r="A763" s="43" t="n"/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  <c r="R763" s="43" t="n"/>
      <c r="S763" s="43" t="n"/>
      <c r="T763" s="43" t="n"/>
      <c r="U763" s="43" t="n"/>
      <c r="V763" s="43" t="n"/>
      <c r="W763" s="43" t="n"/>
      <c r="X763" s="43" t="n"/>
      <c r="Y763" s="43" t="n"/>
      <c r="Z763" s="43" t="n"/>
    </row>
    <row r="764">
      <c r="A764" s="43" t="n"/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  <c r="R764" s="43" t="n"/>
      <c r="S764" s="43" t="n"/>
      <c r="T764" s="43" t="n"/>
      <c r="U764" s="43" t="n"/>
      <c r="V764" s="43" t="n"/>
      <c r="W764" s="43" t="n"/>
      <c r="X764" s="43" t="n"/>
      <c r="Y764" s="43" t="n"/>
      <c r="Z764" s="43" t="n"/>
    </row>
    <row r="765">
      <c r="A765" s="43" t="n"/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  <c r="R765" s="43" t="n"/>
      <c r="S765" s="43" t="n"/>
      <c r="T765" s="43" t="n"/>
      <c r="U765" s="43" t="n"/>
      <c r="V765" s="43" t="n"/>
      <c r="W765" s="43" t="n"/>
      <c r="X765" s="43" t="n"/>
      <c r="Y765" s="43" t="n"/>
      <c r="Z765" s="43" t="n"/>
    </row>
    <row r="766">
      <c r="A766" s="43" t="n"/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  <c r="R766" s="43" t="n"/>
      <c r="S766" s="43" t="n"/>
      <c r="T766" s="43" t="n"/>
      <c r="U766" s="43" t="n"/>
      <c r="V766" s="43" t="n"/>
      <c r="W766" s="43" t="n"/>
      <c r="X766" s="43" t="n"/>
      <c r="Y766" s="43" t="n"/>
      <c r="Z766" s="43" t="n"/>
    </row>
    <row r="767">
      <c r="A767" s="43" t="n"/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  <c r="R767" s="43" t="n"/>
      <c r="S767" s="43" t="n"/>
      <c r="T767" s="43" t="n"/>
      <c r="U767" s="43" t="n"/>
      <c r="V767" s="43" t="n"/>
      <c r="W767" s="43" t="n"/>
      <c r="X767" s="43" t="n"/>
      <c r="Y767" s="43" t="n"/>
      <c r="Z767" s="43" t="n"/>
    </row>
    <row r="768">
      <c r="A768" s="43" t="n"/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  <c r="R768" s="43" t="n"/>
      <c r="S768" s="43" t="n"/>
      <c r="T768" s="43" t="n"/>
      <c r="U768" s="43" t="n"/>
      <c r="V768" s="43" t="n"/>
      <c r="W768" s="43" t="n"/>
      <c r="X768" s="43" t="n"/>
      <c r="Y768" s="43" t="n"/>
      <c r="Z768" s="43" t="n"/>
    </row>
    <row r="769">
      <c r="A769" s="43" t="n"/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  <c r="R769" s="43" t="n"/>
      <c r="S769" s="43" t="n"/>
      <c r="T769" s="43" t="n"/>
      <c r="U769" s="43" t="n"/>
      <c r="V769" s="43" t="n"/>
      <c r="W769" s="43" t="n"/>
      <c r="X769" s="43" t="n"/>
      <c r="Y769" s="43" t="n"/>
      <c r="Z769" s="43" t="n"/>
    </row>
    <row r="770">
      <c r="A770" s="43" t="n"/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  <c r="R770" s="43" t="n"/>
      <c r="S770" s="43" t="n"/>
      <c r="T770" s="43" t="n"/>
      <c r="U770" s="43" t="n"/>
      <c r="V770" s="43" t="n"/>
      <c r="W770" s="43" t="n"/>
      <c r="X770" s="43" t="n"/>
      <c r="Y770" s="43" t="n"/>
      <c r="Z770" s="43" t="n"/>
    </row>
    <row r="771">
      <c r="A771" s="43" t="n"/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  <c r="R771" s="43" t="n"/>
      <c r="S771" s="43" t="n"/>
      <c r="T771" s="43" t="n"/>
      <c r="U771" s="43" t="n"/>
      <c r="V771" s="43" t="n"/>
      <c r="W771" s="43" t="n"/>
      <c r="X771" s="43" t="n"/>
      <c r="Y771" s="43" t="n"/>
      <c r="Z771" s="43" t="n"/>
    </row>
    <row r="772">
      <c r="A772" s="43" t="n"/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  <c r="R772" s="43" t="n"/>
      <c r="S772" s="43" t="n"/>
      <c r="T772" s="43" t="n"/>
      <c r="U772" s="43" t="n"/>
      <c r="V772" s="43" t="n"/>
      <c r="W772" s="43" t="n"/>
      <c r="X772" s="43" t="n"/>
      <c r="Y772" s="43" t="n"/>
      <c r="Z772" s="43" t="n"/>
    </row>
    <row r="773">
      <c r="A773" s="43" t="n"/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  <c r="R773" s="43" t="n"/>
      <c r="S773" s="43" t="n"/>
      <c r="T773" s="43" t="n"/>
      <c r="U773" s="43" t="n"/>
      <c r="V773" s="43" t="n"/>
      <c r="W773" s="43" t="n"/>
      <c r="X773" s="43" t="n"/>
      <c r="Y773" s="43" t="n"/>
      <c r="Z773" s="43" t="n"/>
    </row>
    <row r="774">
      <c r="A774" s="43" t="n"/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  <c r="R774" s="43" t="n"/>
      <c r="S774" s="43" t="n"/>
      <c r="T774" s="43" t="n"/>
      <c r="U774" s="43" t="n"/>
      <c r="V774" s="43" t="n"/>
      <c r="W774" s="43" t="n"/>
      <c r="X774" s="43" t="n"/>
      <c r="Y774" s="43" t="n"/>
      <c r="Z774" s="43" t="n"/>
    </row>
    <row r="775">
      <c r="A775" s="43" t="n"/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  <c r="R775" s="43" t="n"/>
      <c r="S775" s="43" t="n"/>
      <c r="T775" s="43" t="n"/>
      <c r="U775" s="43" t="n"/>
      <c r="V775" s="43" t="n"/>
      <c r="W775" s="43" t="n"/>
      <c r="X775" s="43" t="n"/>
      <c r="Y775" s="43" t="n"/>
      <c r="Z775" s="43" t="n"/>
    </row>
    <row r="776">
      <c r="A776" s="43" t="n"/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  <c r="R776" s="43" t="n"/>
      <c r="S776" s="43" t="n"/>
      <c r="T776" s="43" t="n"/>
      <c r="U776" s="43" t="n"/>
      <c r="V776" s="43" t="n"/>
      <c r="W776" s="43" t="n"/>
      <c r="X776" s="43" t="n"/>
      <c r="Y776" s="43" t="n"/>
      <c r="Z776" s="43" t="n"/>
    </row>
    <row r="777">
      <c r="A777" s="43" t="n"/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  <c r="R777" s="43" t="n"/>
      <c r="S777" s="43" t="n"/>
      <c r="T777" s="43" t="n"/>
      <c r="U777" s="43" t="n"/>
      <c r="V777" s="43" t="n"/>
      <c r="W777" s="43" t="n"/>
      <c r="X777" s="43" t="n"/>
      <c r="Y777" s="43" t="n"/>
      <c r="Z777" s="43" t="n"/>
    </row>
    <row r="778">
      <c r="A778" s="43" t="n"/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  <c r="R778" s="43" t="n"/>
      <c r="S778" s="43" t="n"/>
      <c r="T778" s="43" t="n"/>
      <c r="U778" s="43" t="n"/>
      <c r="V778" s="43" t="n"/>
      <c r="W778" s="43" t="n"/>
      <c r="X778" s="43" t="n"/>
      <c r="Y778" s="43" t="n"/>
      <c r="Z778" s="43" t="n"/>
    </row>
    <row r="779">
      <c r="A779" s="43" t="n"/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  <c r="R779" s="43" t="n"/>
      <c r="S779" s="43" t="n"/>
      <c r="T779" s="43" t="n"/>
      <c r="U779" s="43" t="n"/>
      <c r="V779" s="43" t="n"/>
      <c r="W779" s="43" t="n"/>
      <c r="X779" s="43" t="n"/>
      <c r="Y779" s="43" t="n"/>
      <c r="Z779" s="43" t="n"/>
    </row>
    <row r="780">
      <c r="A780" s="43" t="n"/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  <c r="R780" s="43" t="n"/>
      <c r="S780" s="43" t="n"/>
      <c r="T780" s="43" t="n"/>
      <c r="U780" s="43" t="n"/>
      <c r="V780" s="43" t="n"/>
      <c r="W780" s="43" t="n"/>
      <c r="X780" s="43" t="n"/>
      <c r="Y780" s="43" t="n"/>
      <c r="Z780" s="43" t="n"/>
    </row>
    <row r="781">
      <c r="A781" s="43" t="n"/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  <c r="R781" s="43" t="n"/>
      <c r="S781" s="43" t="n"/>
      <c r="T781" s="43" t="n"/>
      <c r="U781" s="43" t="n"/>
      <c r="V781" s="43" t="n"/>
      <c r="W781" s="43" t="n"/>
      <c r="X781" s="43" t="n"/>
      <c r="Y781" s="43" t="n"/>
      <c r="Z781" s="43" t="n"/>
    </row>
    <row r="782">
      <c r="A782" s="43" t="n"/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  <c r="R782" s="43" t="n"/>
      <c r="S782" s="43" t="n"/>
      <c r="T782" s="43" t="n"/>
      <c r="U782" s="43" t="n"/>
      <c r="V782" s="43" t="n"/>
      <c r="W782" s="43" t="n"/>
      <c r="X782" s="43" t="n"/>
      <c r="Y782" s="43" t="n"/>
      <c r="Z782" s="43" t="n"/>
    </row>
    <row r="783">
      <c r="A783" s="43" t="n"/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  <c r="R783" s="43" t="n"/>
      <c r="S783" s="43" t="n"/>
      <c r="T783" s="43" t="n"/>
      <c r="U783" s="43" t="n"/>
      <c r="V783" s="43" t="n"/>
      <c r="W783" s="43" t="n"/>
      <c r="X783" s="43" t="n"/>
      <c r="Y783" s="43" t="n"/>
      <c r="Z783" s="43" t="n"/>
    </row>
    <row r="784">
      <c r="A784" s="43" t="n"/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  <c r="R784" s="43" t="n"/>
      <c r="S784" s="43" t="n"/>
      <c r="T784" s="43" t="n"/>
      <c r="U784" s="43" t="n"/>
      <c r="V784" s="43" t="n"/>
      <c r="W784" s="43" t="n"/>
      <c r="X784" s="43" t="n"/>
      <c r="Y784" s="43" t="n"/>
      <c r="Z784" s="43" t="n"/>
    </row>
    <row r="785">
      <c r="A785" s="43" t="n"/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  <c r="R785" s="43" t="n"/>
      <c r="S785" s="43" t="n"/>
      <c r="T785" s="43" t="n"/>
      <c r="U785" s="43" t="n"/>
      <c r="V785" s="43" t="n"/>
      <c r="W785" s="43" t="n"/>
      <c r="X785" s="43" t="n"/>
      <c r="Y785" s="43" t="n"/>
      <c r="Z785" s="43" t="n"/>
    </row>
    <row r="786">
      <c r="A786" s="43" t="n"/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  <c r="R786" s="43" t="n"/>
      <c r="S786" s="43" t="n"/>
      <c r="T786" s="43" t="n"/>
      <c r="U786" s="43" t="n"/>
      <c r="V786" s="43" t="n"/>
      <c r="W786" s="43" t="n"/>
      <c r="X786" s="43" t="n"/>
      <c r="Y786" s="43" t="n"/>
      <c r="Z786" s="43" t="n"/>
    </row>
    <row r="787">
      <c r="A787" s="43" t="n"/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  <c r="R787" s="43" t="n"/>
      <c r="S787" s="43" t="n"/>
      <c r="T787" s="43" t="n"/>
      <c r="U787" s="43" t="n"/>
      <c r="V787" s="43" t="n"/>
      <c r="W787" s="43" t="n"/>
      <c r="X787" s="43" t="n"/>
      <c r="Y787" s="43" t="n"/>
      <c r="Z787" s="43" t="n"/>
    </row>
    <row r="788">
      <c r="A788" s="43" t="n"/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  <c r="R788" s="43" t="n"/>
      <c r="S788" s="43" t="n"/>
      <c r="T788" s="43" t="n"/>
      <c r="U788" s="43" t="n"/>
      <c r="V788" s="43" t="n"/>
      <c r="W788" s="43" t="n"/>
      <c r="X788" s="43" t="n"/>
      <c r="Y788" s="43" t="n"/>
      <c r="Z788" s="43" t="n"/>
    </row>
    <row r="789">
      <c r="A789" s="43" t="n"/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  <c r="R789" s="43" t="n"/>
      <c r="S789" s="43" t="n"/>
      <c r="T789" s="43" t="n"/>
      <c r="U789" s="43" t="n"/>
      <c r="V789" s="43" t="n"/>
      <c r="W789" s="43" t="n"/>
      <c r="X789" s="43" t="n"/>
      <c r="Y789" s="43" t="n"/>
      <c r="Z789" s="43" t="n"/>
    </row>
    <row r="790">
      <c r="A790" s="43" t="n"/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  <c r="R790" s="43" t="n"/>
      <c r="S790" s="43" t="n"/>
      <c r="T790" s="43" t="n"/>
      <c r="U790" s="43" t="n"/>
      <c r="V790" s="43" t="n"/>
      <c r="W790" s="43" t="n"/>
      <c r="X790" s="43" t="n"/>
      <c r="Y790" s="43" t="n"/>
      <c r="Z790" s="43" t="n"/>
    </row>
    <row r="791">
      <c r="A791" s="43" t="n"/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  <c r="R791" s="43" t="n"/>
      <c r="S791" s="43" t="n"/>
      <c r="T791" s="43" t="n"/>
      <c r="U791" s="43" t="n"/>
      <c r="V791" s="43" t="n"/>
      <c r="W791" s="43" t="n"/>
      <c r="X791" s="43" t="n"/>
      <c r="Y791" s="43" t="n"/>
      <c r="Z791" s="43" t="n"/>
    </row>
    <row r="792">
      <c r="A792" s="43" t="n"/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  <c r="R792" s="43" t="n"/>
      <c r="S792" s="43" t="n"/>
      <c r="T792" s="43" t="n"/>
      <c r="U792" s="43" t="n"/>
      <c r="V792" s="43" t="n"/>
      <c r="W792" s="43" t="n"/>
      <c r="X792" s="43" t="n"/>
      <c r="Y792" s="43" t="n"/>
      <c r="Z792" s="43" t="n"/>
    </row>
    <row r="793">
      <c r="A793" s="43" t="n"/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  <c r="R793" s="43" t="n"/>
      <c r="S793" s="43" t="n"/>
      <c r="T793" s="43" t="n"/>
      <c r="U793" s="43" t="n"/>
      <c r="V793" s="43" t="n"/>
      <c r="W793" s="43" t="n"/>
      <c r="X793" s="43" t="n"/>
      <c r="Y793" s="43" t="n"/>
      <c r="Z793" s="43" t="n"/>
    </row>
    <row r="794">
      <c r="A794" s="43" t="n"/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  <c r="R794" s="43" t="n"/>
      <c r="S794" s="43" t="n"/>
      <c r="T794" s="43" t="n"/>
      <c r="U794" s="43" t="n"/>
      <c r="V794" s="43" t="n"/>
      <c r="W794" s="43" t="n"/>
      <c r="X794" s="43" t="n"/>
      <c r="Y794" s="43" t="n"/>
      <c r="Z794" s="43" t="n"/>
    </row>
    <row r="795">
      <c r="A795" s="43" t="n"/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  <c r="R795" s="43" t="n"/>
      <c r="S795" s="43" t="n"/>
      <c r="T795" s="43" t="n"/>
      <c r="U795" s="43" t="n"/>
      <c r="V795" s="43" t="n"/>
      <c r="W795" s="43" t="n"/>
      <c r="X795" s="43" t="n"/>
      <c r="Y795" s="43" t="n"/>
      <c r="Z795" s="43" t="n"/>
    </row>
    <row r="796">
      <c r="A796" s="43" t="n"/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  <c r="R796" s="43" t="n"/>
      <c r="S796" s="43" t="n"/>
      <c r="T796" s="43" t="n"/>
      <c r="U796" s="43" t="n"/>
      <c r="V796" s="43" t="n"/>
      <c r="W796" s="43" t="n"/>
      <c r="X796" s="43" t="n"/>
      <c r="Y796" s="43" t="n"/>
      <c r="Z796" s="43" t="n"/>
    </row>
    <row r="797">
      <c r="A797" s="43" t="n"/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  <c r="R797" s="43" t="n"/>
      <c r="S797" s="43" t="n"/>
      <c r="T797" s="43" t="n"/>
      <c r="U797" s="43" t="n"/>
      <c r="V797" s="43" t="n"/>
      <c r="W797" s="43" t="n"/>
      <c r="X797" s="43" t="n"/>
      <c r="Y797" s="43" t="n"/>
      <c r="Z797" s="43" t="n"/>
    </row>
    <row r="798">
      <c r="A798" s="43" t="n"/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  <c r="R798" s="43" t="n"/>
      <c r="S798" s="43" t="n"/>
      <c r="T798" s="43" t="n"/>
      <c r="U798" s="43" t="n"/>
      <c r="V798" s="43" t="n"/>
      <c r="W798" s="43" t="n"/>
      <c r="X798" s="43" t="n"/>
      <c r="Y798" s="43" t="n"/>
      <c r="Z798" s="43" t="n"/>
    </row>
    <row r="799">
      <c r="A799" s="43" t="n"/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  <c r="R799" s="43" t="n"/>
      <c r="S799" s="43" t="n"/>
      <c r="T799" s="43" t="n"/>
      <c r="U799" s="43" t="n"/>
      <c r="V799" s="43" t="n"/>
      <c r="W799" s="43" t="n"/>
      <c r="X799" s="43" t="n"/>
      <c r="Y799" s="43" t="n"/>
      <c r="Z799" s="43" t="n"/>
    </row>
    <row r="800">
      <c r="A800" s="43" t="n"/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  <c r="R800" s="43" t="n"/>
      <c r="S800" s="43" t="n"/>
      <c r="T800" s="43" t="n"/>
      <c r="U800" s="43" t="n"/>
      <c r="V800" s="43" t="n"/>
      <c r="W800" s="43" t="n"/>
      <c r="X800" s="43" t="n"/>
      <c r="Y800" s="43" t="n"/>
      <c r="Z800" s="43" t="n"/>
    </row>
    <row r="801">
      <c r="A801" s="43" t="n"/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  <c r="R801" s="43" t="n"/>
      <c r="S801" s="43" t="n"/>
      <c r="T801" s="43" t="n"/>
      <c r="U801" s="43" t="n"/>
      <c r="V801" s="43" t="n"/>
      <c r="W801" s="43" t="n"/>
      <c r="X801" s="43" t="n"/>
      <c r="Y801" s="43" t="n"/>
      <c r="Z801" s="43" t="n"/>
    </row>
    <row r="802">
      <c r="A802" s="43" t="n"/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  <c r="R802" s="43" t="n"/>
      <c r="S802" s="43" t="n"/>
      <c r="T802" s="43" t="n"/>
      <c r="U802" s="43" t="n"/>
      <c r="V802" s="43" t="n"/>
      <c r="W802" s="43" t="n"/>
      <c r="X802" s="43" t="n"/>
      <c r="Y802" s="43" t="n"/>
      <c r="Z802" s="43" t="n"/>
    </row>
    <row r="803">
      <c r="A803" s="43" t="n"/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  <c r="R803" s="43" t="n"/>
      <c r="S803" s="43" t="n"/>
      <c r="T803" s="43" t="n"/>
      <c r="U803" s="43" t="n"/>
      <c r="V803" s="43" t="n"/>
      <c r="W803" s="43" t="n"/>
      <c r="X803" s="43" t="n"/>
      <c r="Y803" s="43" t="n"/>
      <c r="Z803" s="43" t="n"/>
    </row>
    <row r="804">
      <c r="A804" s="43" t="n"/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  <c r="R804" s="43" t="n"/>
      <c r="S804" s="43" t="n"/>
      <c r="T804" s="43" t="n"/>
      <c r="U804" s="43" t="n"/>
      <c r="V804" s="43" t="n"/>
      <c r="W804" s="43" t="n"/>
      <c r="X804" s="43" t="n"/>
      <c r="Y804" s="43" t="n"/>
      <c r="Z804" s="43" t="n"/>
    </row>
    <row r="805">
      <c r="A805" s="43" t="n"/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  <c r="R805" s="43" t="n"/>
      <c r="S805" s="43" t="n"/>
      <c r="T805" s="43" t="n"/>
      <c r="U805" s="43" t="n"/>
      <c r="V805" s="43" t="n"/>
      <c r="W805" s="43" t="n"/>
      <c r="X805" s="43" t="n"/>
      <c r="Y805" s="43" t="n"/>
      <c r="Z805" s="43" t="n"/>
    </row>
    <row r="806">
      <c r="A806" s="43" t="n"/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  <c r="R806" s="43" t="n"/>
      <c r="S806" s="43" t="n"/>
      <c r="T806" s="43" t="n"/>
      <c r="U806" s="43" t="n"/>
      <c r="V806" s="43" t="n"/>
      <c r="W806" s="43" t="n"/>
      <c r="X806" s="43" t="n"/>
      <c r="Y806" s="43" t="n"/>
      <c r="Z806" s="43" t="n"/>
    </row>
    <row r="807">
      <c r="A807" s="43" t="n"/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  <c r="R807" s="43" t="n"/>
      <c r="S807" s="43" t="n"/>
      <c r="T807" s="43" t="n"/>
      <c r="U807" s="43" t="n"/>
      <c r="V807" s="43" t="n"/>
      <c r="W807" s="43" t="n"/>
      <c r="X807" s="43" t="n"/>
      <c r="Y807" s="43" t="n"/>
      <c r="Z807" s="43" t="n"/>
    </row>
    <row r="808">
      <c r="A808" s="43" t="n"/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  <c r="R808" s="43" t="n"/>
      <c r="S808" s="43" t="n"/>
      <c r="T808" s="43" t="n"/>
      <c r="U808" s="43" t="n"/>
      <c r="V808" s="43" t="n"/>
      <c r="W808" s="43" t="n"/>
      <c r="X808" s="43" t="n"/>
      <c r="Y808" s="43" t="n"/>
      <c r="Z808" s="43" t="n"/>
    </row>
    <row r="809">
      <c r="A809" s="43" t="n"/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  <c r="R809" s="43" t="n"/>
      <c r="S809" s="43" t="n"/>
      <c r="T809" s="43" t="n"/>
      <c r="U809" s="43" t="n"/>
      <c r="V809" s="43" t="n"/>
      <c r="W809" s="43" t="n"/>
      <c r="X809" s="43" t="n"/>
      <c r="Y809" s="43" t="n"/>
      <c r="Z809" s="43" t="n"/>
    </row>
    <row r="810">
      <c r="A810" s="43" t="n"/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  <c r="R810" s="43" t="n"/>
      <c r="S810" s="43" t="n"/>
      <c r="T810" s="43" t="n"/>
      <c r="U810" s="43" t="n"/>
      <c r="V810" s="43" t="n"/>
      <c r="W810" s="43" t="n"/>
      <c r="X810" s="43" t="n"/>
      <c r="Y810" s="43" t="n"/>
      <c r="Z810" s="43" t="n"/>
    </row>
    <row r="811">
      <c r="A811" s="43" t="n"/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  <c r="R811" s="43" t="n"/>
      <c r="S811" s="43" t="n"/>
      <c r="T811" s="43" t="n"/>
      <c r="U811" s="43" t="n"/>
      <c r="V811" s="43" t="n"/>
      <c r="W811" s="43" t="n"/>
      <c r="X811" s="43" t="n"/>
      <c r="Y811" s="43" t="n"/>
      <c r="Z811" s="43" t="n"/>
    </row>
    <row r="812">
      <c r="A812" s="43" t="n"/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  <c r="R812" s="43" t="n"/>
      <c r="S812" s="43" t="n"/>
      <c r="T812" s="43" t="n"/>
      <c r="U812" s="43" t="n"/>
      <c r="V812" s="43" t="n"/>
      <c r="W812" s="43" t="n"/>
      <c r="X812" s="43" t="n"/>
      <c r="Y812" s="43" t="n"/>
      <c r="Z812" s="43" t="n"/>
    </row>
    <row r="813">
      <c r="A813" s="43" t="n"/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  <c r="R813" s="43" t="n"/>
      <c r="S813" s="43" t="n"/>
      <c r="T813" s="43" t="n"/>
      <c r="U813" s="43" t="n"/>
      <c r="V813" s="43" t="n"/>
      <c r="W813" s="43" t="n"/>
      <c r="X813" s="43" t="n"/>
      <c r="Y813" s="43" t="n"/>
      <c r="Z813" s="43" t="n"/>
    </row>
    <row r="814">
      <c r="A814" s="43" t="n"/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  <c r="R814" s="43" t="n"/>
      <c r="S814" s="43" t="n"/>
      <c r="T814" s="43" t="n"/>
      <c r="U814" s="43" t="n"/>
      <c r="V814" s="43" t="n"/>
      <c r="W814" s="43" t="n"/>
      <c r="X814" s="43" t="n"/>
      <c r="Y814" s="43" t="n"/>
      <c r="Z814" s="43" t="n"/>
    </row>
    <row r="815">
      <c r="A815" s="43" t="n"/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  <c r="R815" s="43" t="n"/>
      <c r="S815" s="43" t="n"/>
      <c r="T815" s="43" t="n"/>
      <c r="U815" s="43" t="n"/>
      <c r="V815" s="43" t="n"/>
      <c r="W815" s="43" t="n"/>
      <c r="X815" s="43" t="n"/>
      <c r="Y815" s="43" t="n"/>
      <c r="Z815" s="43" t="n"/>
    </row>
    <row r="816">
      <c r="A816" s="43" t="n"/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  <c r="R816" s="43" t="n"/>
      <c r="S816" s="43" t="n"/>
      <c r="T816" s="43" t="n"/>
      <c r="U816" s="43" t="n"/>
      <c r="V816" s="43" t="n"/>
      <c r="W816" s="43" t="n"/>
      <c r="X816" s="43" t="n"/>
      <c r="Y816" s="43" t="n"/>
      <c r="Z816" s="43" t="n"/>
    </row>
    <row r="817">
      <c r="A817" s="43" t="n"/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  <c r="R817" s="43" t="n"/>
      <c r="S817" s="43" t="n"/>
      <c r="T817" s="43" t="n"/>
      <c r="U817" s="43" t="n"/>
      <c r="V817" s="43" t="n"/>
      <c r="W817" s="43" t="n"/>
      <c r="X817" s="43" t="n"/>
      <c r="Y817" s="43" t="n"/>
      <c r="Z817" s="43" t="n"/>
    </row>
    <row r="818">
      <c r="A818" s="43" t="n"/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  <c r="R818" s="43" t="n"/>
      <c r="S818" s="43" t="n"/>
      <c r="T818" s="43" t="n"/>
      <c r="U818" s="43" t="n"/>
      <c r="V818" s="43" t="n"/>
      <c r="W818" s="43" t="n"/>
      <c r="X818" s="43" t="n"/>
      <c r="Y818" s="43" t="n"/>
      <c r="Z818" s="43" t="n"/>
    </row>
    <row r="819">
      <c r="A819" s="43" t="n"/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  <c r="R819" s="43" t="n"/>
      <c r="S819" s="43" t="n"/>
      <c r="T819" s="43" t="n"/>
      <c r="U819" s="43" t="n"/>
      <c r="V819" s="43" t="n"/>
      <c r="W819" s="43" t="n"/>
      <c r="X819" s="43" t="n"/>
      <c r="Y819" s="43" t="n"/>
      <c r="Z819" s="43" t="n"/>
    </row>
    <row r="820">
      <c r="A820" s="43" t="n"/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  <c r="R820" s="43" t="n"/>
      <c r="S820" s="43" t="n"/>
      <c r="T820" s="43" t="n"/>
      <c r="U820" s="43" t="n"/>
      <c r="V820" s="43" t="n"/>
      <c r="W820" s="43" t="n"/>
      <c r="X820" s="43" t="n"/>
      <c r="Y820" s="43" t="n"/>
      <c r="Z820" s="43" t="n"/>
    </row>
    <row r="821">
      <c r="A821" s="43" t="n"/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  <c r="R821" s="43" t="n"/>
      <c r="S821" s="43" t="n"/>
      <c r="T821" s="43" t="n"/>
      <c r="U821" s="43" t="n"/>
      <c r="V821" s="43" t="n"/>
      <c r="W821" s="43" t="n"/>
      <c r="X821" s="43" t="n"/>
      <c r="Y821" s="43" t="n"/>
      <c r="Z821" s="43" t="n"/>
    </row>
    <row r="822">
      <c r="A822" s="43" t="n"/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  <c r="R822" s="43" t="n"/>
      <c r="S822" s="43" t="n"/>
      <c r="T822" s="43" t="n"/>
      <c r="U822" s="43" t="n"/>
      <c r="V822" s="43" t="n"/>
      <c r="W822" s="43" t="n"/>
      <c r="X822" s="43" t="n"/>
      <c r="Y822" s="43" t="n"/>
      <c r="Z822" s="43" t="n"/>
    </row>
    <row r="823">
      <c r="A823" s="43" t="n"/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  <c r="R823" s="43" t="n"/>
      <c r="S823" s="43" t="n"/>
      <c r="T823" s="43" t="n"/>
      <c r="U823" s="43" t="n"/>
      <c r="V823" s="43" t="n"/>
      <c r="W823" s="43" t="n"/>
      <c r="X823" s="43" t="n"/>
      <c r="Y823" s="43" t="n"/>
      <c r="Z823" s="43" t="n"/>
    </row>
    <row r="824">
      <c r="A824" s="43" t="n"/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  <c r="R824" s="43" t="n"/>
      <c r="S824" s="43" t="n"/>
      <c r="T824" s="43" t="n"/>
      <c r="U824" s="43" t="n"/>
      <c r="V824" s="43" t="n"/>
      <c r="W824" s="43" t="n"/>
      <c r="X824" s="43" t="n"/>
      <c r="Y824" s="43" t="n"/>
      <c r="Z824" s="43" t="n"/>
    </row>
    <row r="825">
      <c r="A825" s="43" t="n"/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  <c r="R825" s="43" t="n"/>
      <c r="S825" s="43" t="n"/>
      <c r="T825" s="43" t="n"/>
      <c r="U825" s="43" t="n"/>
      <c r="V825" s="43" t="n"/>
      <c r="W825" s="43" t="n"/>
      <c r="X825" s="43" t="n"/>
      <c r="Y825" s="43" t="n"/>
      <c r="Z825" s="43" t="n"/>
    </row>
    <row r="826">
      <c r="A826" s="43" t="n"/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  <c r="R826" s="43" t="n"/>
      <c r="S826" s="43" t="n"/>
      <c r="T826" s="43" t="n"/>
      <c r="U826" s="43" t="n"/>
      <c r="V826" s="43" t="n"/>
      <c r="W826" s="43" t="n"/>
      <c r="X826" s="43" t="n"/>
      <c r="Y826" s="43" t="n"/>
      <c r="Z826" s="43" t="n"/>
    </row>
    <row r="827">
      <c r="A827" s="43" t="n"/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  <c r="R827" s="43" t="n"/>
      <c r="S827" s="43" t="n"/>
      <c r="T827" s="43" t="n"/>
      <c r="U827" s="43" t="n"/>
      <c r="V827" s="43" t="n"/>
      <c r="W827" s="43" t="n"/>
      <c r="X827" s="43" t="n"/>
      <c r="Y827" s="43" t="n"/>
      <c r="Z827" s="43" t="n"/>
    </row>
    <row r="828">
      <c r="A828" s="43" t="n"/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  <c r="R828" s="43" t="n"/>
      <c r="S828" s="43" t="n"/>
      <c r="T828" s="43" t="n"/>
      <c r="U828" s="43" t="n"/>
      <c r="V828" s="43" t="n"/>
      <c r="W828" s="43" t="n"/>
      <c r="X828" s="43" t="n"/>
      <c r="Y828" s="43" t="n"/>
      <c r="Z828" s="43" t="n"/>
    </row>
    <row r="829">
      <c r="A829" s="43" t="n"/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  <c r="R829" s="43" t="n"/>
      <c r="S829" s="43" t="n"/>
      <c r="T829" s="43" t="n"/>
      <c r="U829" s="43" t="n"/>
      <c r="V829" s="43" t="n"/>
      <c r="W829" s="43" t="n"/>
      <c r="X829" s="43" t="n"/>
      <c r="Y829" s="43" t="n"/>
      <c r="Z829" s="43" t="n"/>
    </row>
    <row r="830">
      <c r="A830" s="43" t="n"/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  <c r="R830" s="43" t="n"/>
      <c r="S830" s="43" t="n"/>
      <c r="T830" s="43" t="n"/>
      <c r="U830" s="43" t="n"/>
      <c r="V830" s="43" t="n"/>
      <c r="W830" s="43" t="n"/>
      <c r="X830" s="43" t="n"/>
      <c r="Y830" s="43" t="n"/>
      <c r="Z830" s="43" t="n"/>
    </row>
    <row r="831">
      <c r="A831" s="43" t="n"/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  <c r="R831" s="43" t="n"/>
      <c r="S831" s="43" t="n"/>
      <c r="T831" s="43" t="n"/>
      <c r="U831" s="43" t="n"/>
      <c r="V831" s="43" t="n"/>
      <c r="W831" s="43" t="n"/>
      <c r="X831" s="43" t="n"/>
      <c r="Y831" s="43" t="n"/>
      <c r="Z831" s="43" t="n"/>
    </row>
    <row r="832">
      <c r="A832" s="43" t="n"/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  <c r="R832" s="43" t="n"/>
      <c r="S832" s="43" t="n"/>
      <c r="T832" s="43" t="n"/>
      <c r="U832" s="43" t="n"/>
      <c r="V832" s="43" t="n"/>
      <c r="W832" s="43" t="n"/>
      <c r="X832" s="43" t="n"/>
      <c r="Y832" s="43" t="n"/>
      <c r="Z832" s="43" t="n"/>
    </row>
    <row r="833">
      <c r="A833" s="43" t="n"/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  <c r="R833" s="43" t="n"/>
      <c r="S833" s="43" t="n"/>
      <c r="T833" s="43" t="n"/>
      <c r="U833" s="43" t="n"/>
      <c r="V833" s="43" t="n"/>
      <c r="W833" s="43" t="n"/>
      <c r="X833" s="43" t="n"/>
      <c r="Y833" s="43" t="n"/>
      <c r="Z833" s="43" t="n"/>
    </row>
    <row r="834">
      <c r="A834" s="43" t="n"/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  <c r="R834" s="43" t="n"/>
      <c r="S834" s="43" t="n"/>
      <c r="T834" s="43" t="n"/>
      <c r="U834" s="43" t="n"/>
      <c r="V834" s="43" t="n"/>
      <c r="W834" s="43" t="n"/>
      <c r="X834" s="43" t="n"/>
      <c r="Y834" s="43" t="n"/>
      <c r="Z834" s="43" t="n"/>
    </row>
    <row r="835">
      <c r="A835" s="43" t="n"/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  <c r="R835" s="43" t="n"/>
      <c r="S835" s="43" t="n"/>
      <c r="T835" s="43" t="n"/>
      <c r="U835" s="43" t="n"/>
      <c r="V835" s="43" t="n"/>
      <c r="W835" s="43" t="n"/>
      <c r="X835" s="43" t="n"/>
      <c r="Y835" s="43" t="n"/>
      <c r="Z835" s="43" t="n"/>
    </row>
    <row r="836">
      <c r="A836" s="43" t="n"/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  <c r="R836" s="43" t="n"/>
      <c r="S836" s="43" t="n"/>
      <c r="T836" s="43" t="n"/>
      <c r="U836" s="43" t="n"/>
      <c r="V836" s="43" t="n"/>
      <c r="W836" s="43" t="n"/>
      <c r="X836" s="43" t="n"/>
      <c r="Y836" s="43" t="n"/>
      <c r="Z836" s="43" t="n"/>
    </row>
    <row r="837">
      <c r="A837" s="43" t="n"/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  <c r="R837" s="43" t="n"/>
      <c r="S837" s="43" t="n"/>
      <c r="T837" s="43" t="n"/>
      <c r="U837" s="43" t="n"/>
      <c r="V837" s="43" t="n"/>
      <c r="W837" s="43" t="n"/>
      <c r="X837" s="43" t="n"/>
      <c r="Y837" s="43" t="n"/>
      <c r="Z837" s="43" t="n"/>
    </row>
    <row r="838">
      <c r="A838" s="43" t="n"/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  <c r="R838" s="43" t="n"/>
      <c r="S838" s="43" t="n"/>
      <c r="T838" s="43" t="n"/>
      <c r="U838" s="43" t="n"/>
      <c r="V838" s="43" t="n"/>
      <c r="W838" s="43" t="n"/>
      <c r="X838" s="43" t="n"/>
      <c r="Y838" s="43" t="n"/>
      <c r="Z838" s="43" t="n"/>
    </row>
    <row r="839">
      <c r="A839" s="43" t="n"/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  <c r="R839" s="43" t="n"/>
      <c r="S839" s="43" t="n"/>
      <c r="T839" s="43" t="n"/>
      <c r="U839" s="43" t="n"/>
      <c r="V839" s="43" t="n"/>
      <c r="W839" s="43" t="n"/>
      <c r="X839" s="43" t="n"/>
      <c r="Y839" s="43" t="n"/>
      <c r="Z839" s="43" t="n"/>
    </row>
    <row r="840">
      <c r="A840" s="43" t="n"/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  <c r="R840" s="43" t="n"/>
      <c r="S840" s="43" t="n"/>
      <c r="T840" s="43" t="n"/>
      <c r="U840" s="43" t="n"/>
      <c r="V840" s="43" t="n"/>
      <c r="W840" s="43" t="n"/>
      <c r="X840" s="43" t="n"/>
      <c r="Y840" s="43" t="n"/>
      <c r="Z840" s="43" t="n"/>
    </row>
    <row r="841">
      <c r="A841" s="43" t="n"/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  <c r="R841" s="43" t="n"/>
      <c r="S841" s="43" t="n"/>
      <c r="T841" s="43" t="n"/>
      <c r="U841" s="43" t="n"/>
      <c r="V841" s="43" t="n"/>
      <c r="W841" s="43" t="n"/>
      <c r="X841" s="43" t="n"/>
      <c r="Y841" s="43" t="n"/>
      <c r="Z841" s="43" t="n"/>
    </row>
    <row r="842">
      <c r="A842" s="43" t="n"/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  <c r="R842" s="43" t="n"/>
      <c r="S842" s="43" t="n"/>
      <c r="T842" s="43" t="n"/>
      <c r="U842" s="43" t="n"/>
      <c r="V842" s="43" t="n"/>
      <c r="W842" s="43" t="n"/>
      <c r="X842" s="43" t="n"/>
      <c r="Y842" s="43" t="n"/>
      <c r="Z842" s="43" t="n"/>
    </row>
    <row r="843">
      <c r="A843" s="43" t="n"/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  <c r="R843" s="43" t="n"/>
      <c r="S843" s="43" t="n"/>
      <c r="T843" s="43" t="n"/>
      <c r="U843" s="43" t="n"/>
      <c r="V843" s="43" t="n"/>
      <c r="W843" s="43" t="n"/>
      <c r="X843" s="43" t="n"/>
      <c r="Y843" s="43" t="n"/>
      <c r="Z843" s="43" t="n"/>
    </row>
    <row r="844">
      <c r="A844" s="43" t="n"/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  <c r="R844" s="43" t="n"/>
      <c r="S844" s="43" t="n"/>
      <c r="T844" s="43" t="n"/>
      <c r="U844" s="43" t="n"/>
      <c r="V844" s="43" t="n"/>
      <c r="W844" s="43" t="n"/>
      <c r="X844" s="43" t="n"/>
      <c r="Y844" s="43" t="n"/>
      <c r="Z844" s="43" t="n"/>
    </row>
    <row r="845">
      <c r="A845" s="43" t="n"/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  <c r="R845" s="43" t="n"/>
      <c r="S845" s="43" t="n"/>
      <c r="T845" s="43" t="n"/>
      <c r="U845" s="43" t="n"/>
      <c r="V845" s="43" t="n"/>
      <c r="W845" s="43" t="n"/>
      <c r="X845" s="43" t="n"/>
      <c r="Y845" s="43" t="n"/>
      <c r="Z845" s="43" t="n"/>
    </row>
    <row r="846">
      <c r="A846" s="43" t="n"/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  <c r="R846" s="43" t="n"/>
      <c r="S846" s="43" t="n"/>
      <c r="T846" s="43" t="n"/>
      <c r="U846" s="43" t="n"/>
      <c r="V846" s="43" t="n"/>
      <c r="W846" s="43" t="n"/>
      <c r="X846" s="43" t="n"/>
      <c r="Y846" s="43" t="n"/>
      <c r="Z846" s="43" t="n"/>
    </row>
    <row r="847">
      <c r="A847" s="43" t="n"/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  <c r="R847" s="43" t="n"/>
      <c r="S847" s="43" t="n"/>
      <c r="T847" s="43" t="n"/>
      <c r="U847" s="43" t="n"/>
      <c r="V847" s="43" t="n"/>
      <c r="W847" s="43" t="n"/>
      <c r="X847" s="43" t="n"/>
      <c r="Y847" s="43" t="n"/>
      <c r="Z847" s="43" t="n"/>
    </row>
    <row r="848">
      <c r="A848" s="43" t="n"/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  <c r="R848" s="43" t="n"/>
      <c r="S848" s="43" t="n"/>
      <c r="T848" s="43" t="n"/>
      <c r="U848" s="43" t="n"/>
      <c r="V848" s="43" t="n"/>
      <c r="W848" s="43" t="n"/>
      <c r="X848" s="43" t="n"/>
      <c r="Y848" s="43" t="n"/>
      <c r="Z848" s="43" t="n"/>
    </row>
    <row r="849">
      <c r="A849" s="43" t="n"/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  <c r="R849" s="43" t="n"/>
      <c r="S849" s="43" t="n"/>
      <c r="T849" s="43" t="n"/>
      <c r="U849" s="43" t="n"/>
      <c r="V849" s="43" t="n"/>
      <c r="W849" s="43" t="n"/>
      <c r="X849" s="43" t="n"/>
      <c r="Y849" s="43" t="n"/>
      <c r="Z849" s="43" t="n"/>
    </row>
    <row r="850">
      <c r="A850" s="43" t="n"/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  <c r="R850" s="43" t="n"/>
      <c r="S850" s="43" t="n"/>
      <c r="T850" s="43" t="n"/>
      <c r="U850" s="43" t="n"/>
      <c r="V850" s="43" t="n"/>
      <c r="W850" s="43" t="n"/>
      <c r="X850" s="43" t="n"/>
      <c r="Y850" s="43" t="n"/>
      <c r="Z850" s="43" t="n"/>
    </row>
    <row r="851">
      <c r="A851" s="43" t="n"/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  <c r="R851" s="43" t="n"/>
      <c r="S851" s="43" t="n"/>
      <c r="T851" s="43" t="n"/>
      <c r="U851" s="43" t="n"/>
      <c r="V851" s="43" t="n"/>
      <c r="W851" s="43" t="n"/>
      <c r="X851" s="43" t="n"/>
      <c r="Y851" s="43" t="n"/>
      <c r="Z851" s="43" t="n"/>
    </row>
    <row r="852">
      <c r="A852" s="43" t="n"/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  <c r="R852" s="43" t="n"/>
      <c r="S852" s="43" t="n"/>
      <c r="T852" s="43" t="n"/>
      <c r="U852" s="43" t="n"/>
      <c r="V852" s="43" t="n"/>
      <c r="W852" s="43" t="n"/>
      <c r="X852" s="43" t="n"/>
      <c r="Y852" s="43" t="n"/>
      <c r="Z852" s="43" t="n"/>
    </row>
    <row r="853">
      <c r="A853" s="43" t="n"/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  <c r="R853" s="43" t="n"/>
      <c r="S853" s="43" t="n"/>
      <c r="T853" s="43" t="n"/>
      <c r="U853" s="43" t="n"/>
      <c r="V853" s="43" t="n"/>
      <c r="W853" s="43" t="n"/>
      <c r="X853" s="43" t="n"/>
      <c r="Y853" s="43" t="n"/>
      <c r="Z853" s="43" t="n"/>
    </row>
    <row r="854">
      <c r="A854" s="43" t="n"/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  <c r="R854" s="43" t="n"/>
      <c r="S854" s="43" t="n"/>
      <c r="T854" s="43" t="n"/>
      <c r="U854" s="43" t="n"/>
      <c r="V854" s="43" t="n"/>
      <c r="W854" s="43" t="n"/>
      <c r="X854" s="43" t="n"/>
      <c r="Y854" s="43" t="n"/>
      <c r="Z854" s="43" t="n"/>
    </row>
    <row r="855">
      <c r="A855" s="43" t="n"/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  <c r="R855" s="43" t="n"/>
      <c r="S855" s="43" t="n"/>
      <c r="T855" s="43" t="n"/>
      <c r="U855" s="43" t="n"/>
      <c r="V855" s="43" t="n"/>
      <c r="W855" s="43" t="n"/>
      <c r="X855" s="43" t="n"/>
      <c r="Y855" s="43" t="n"/>
      <c r="Z855" s="43" t="n"/>
    </row>
    <row r="856">
      <c r="A856" s="43" t="n"/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  <c r="R856" s="43" t="n"/>
      <c r="S856" s="43" t="n"/>
      <c r="T856" s="43" t="n"/>
      <c r="U856" s="43" t="n"/>
      <c r="V856" s="43" t="n"/>
      <c r="W856" s="43" t="n"/>
      <c r="X856" s="43" t="n"/>
      <c r="Y856" s="43" t="n"/>
      <c r="Z856" s="43" t="n"/>
    </row>
    <row r="857">
      <c r="A857" s="43" t="n"/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  <c r="R857" s="43" t="n"/>
      <c r="S857" s="43" t="n"/>
      <c r="T857" s="43" t="n"/>
      <c r="U857" s="43" t="n"/>
      <c r="V857" s="43" t="n"/>
      <c r="W857" s="43" t="n"/>
      <c r="X857" s="43" t="n"/>
      <c r="Y857" s="43" t="n"/>
      <c r="Z857" s="43" t="n"/>
    </row>
    <row r="858">
      <c r="A858" s="43" t="n"/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  <c r="R858" s="43" t="n"/>
      <c r="S858" s="43" t="n"/>
      <c r="T858" s="43" t="n"/>
      <c r="U858" s="43" t="n"/>
      <c r="V858" s="43" t="n"/>
      <c r="W858" s="43" t="n"/>
      <c r="X858" s="43" t="n"/>
      <c r="Y858" s="43" t="n"/>
      <c r="Z858" s="43" t="n"/>
    </row>
    <row r="859">
      <c r="A859" s="43" t="n"/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  <c r="R859" s="43" t="n"/>
      <c r="S859" s="43" t="n"/>
      <c r="T859" s="43" t="n"/>
      <c r="U859" s="43" t="n"/>
      <c r="V859" s="43" t="n"/>
      <c r="W859" s="43" t="n"/>
      <c r="X859" s="43" t="n"/>
      <c r="Y859" s="43" t="n"/>
      <c r="Z859" s="43" t="n"/>
    </row>
    <row r="860">
      <c r="A860" s="43" t="n"/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  <c r="R860" s="43" t="n"/>
      <c r="S860" s="43" t="n"/>
      <c r="T860" s="43" t="n"/>
      <c r="U860" s="43" t="n"/>
      <c r="V860" s="43" t="n"/>
      <c r="W860" s="43" t="n"/>
      <c r="X860" s="43" t="n"/>
      <c r="Y860" s="43" t="n"/>
      <c r="Z860" s="43" t="n"/>
    </row>
    <row r="861">
      <c r="A861" s="43" t="n"/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  <c r="R861" s="43" t="n"/>
      <c r="S861" s="43" t="n"/>
      <c r="T861" s="43" t="n"/>
      <c r="U861" s="43" t="n"/>
      <c r="V861" s="43" t="n"/>
      <c r="W861" s="43" t="n"/>
      <c r="X861" s="43" t="n"/>
      <c r="Y861" s="43" t="n"/>
      <c r="Z861" s="43" t="n"/>
    </row>
    <row r="862">
      <c r="A862" s="43" t="n"/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  <c r="R862" s="43" t="n"/>
      <c r="S862" s="43" t="n"/>
      <c r="T862" s="43" t="n"/>
      <c r="U862" s="43" t="n"/>
      <c r="V862" s="43" t="n"/>
      <c r="W862" s="43" t="n"/>
      <c r="X862" s="43" t="n"/>
      <c r="Y862" s="43" t="n"/>
      <c r="Z862" s="43" t="n"/>
    </row>
    <row r="863">
      <c r="A863" s="43" t="n"/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  <c r="R863" s="43" t="n"/>
      <c r="S863" s="43" t="n"/>
      <c r="T863" s="43" t="n"/>
      <c r="U863" s="43" t="n"/>
      <c r="V863" s="43" t="n"/>
      <c r="W863" s="43" t="n"/>
      <c r="X863" s="43" t="n"/>
      <c r="Y863" s="43" t="n"/>
      <c r="Z863" s="43" t="n"/>
    </row>
    <row r="864">
      <c r="A864" s="43" t="n"/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  <c r="R864" s="43" t="n"/>
      <c r="S864" s="43" t="n"/>
      <c r="T864" s="43" t="n"/>
      <c r="U864" s="43" t="n"/>
      <c r="V864" s="43" t="n"/>
      <c r="W864" s="43" t="n"/>
      <c r="X864" s="43" t="n"/>
      <c r="Y864" s="43" t="n"/>
      <c r="Z864" s="43" t="n"/>
    </row>
    <row r="865">
      <c r="A865" s="43" t="n"/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  <c r="R865" s="43" t="n"/>
      <c r="S865" s="43" t="n"/>
      <c r="T865" s="43" t="n"/>
      <c r="U865" s="43" t="n"/>
      <c r="V865" s="43" t="n"/>
      <c r="W865" s="43" t="n"/>
      <c r="X865" s="43" t="n"/>
      <c r="Y865" s="43" t="n"/>
      <c r="Z865" s="43" t="n"/>
    </row>
    <row r="866">
      <c r="A866" s="43" t="n"/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  <c r="R866" s="43" t="n"/>
      <c r="S866" s="43" t="n"/>
      <c r="T866" s="43" t="n"/>
      <c r="U866" s="43" t="n"/>
      <c r="V866" s="43" t="n"/>
      <c r="W866" s="43" t="n"/>
      <c r="X866" s="43" t="n"/>
      <c r="Y866" s="43" t="n"/>
      <c r="Z866" s="43" t="n"/>
    </row>
    <row r="867">
      <c r="A867" s="43" t="n"/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  <c r="R867" s="43" t="n"/>
      <c r="S867" s="43" t="n"/>
      <c r="T867" s="43" t="n"/>
      <c r="U867" s="43" t="n"/>
      <c r="V867" s="43" t="n"/>
      <c r="W867" s="43" t="n"/>
      <c r="X867" s="43" t="n"/>
      <c r="Y867" s="43" t="n"/>
      <c r="Z867" s="43" t="n"/>
    </row>
    <row r="868">
      <c r="A868" s="43" t="n"/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  <c r="R868" s="43" t="n"/>
      <c r="S868" s="43" t="n"/>
      <c r="T868" s="43" t="n"/>
      <c r="U868" s="43" t="n"/>
      <c r="V868" s="43" t="n"/>
      <c r="W868" s="43" t="n"/>
      <c r="X868" s="43" t="n"/>
      <c r="Y868" s="43" t="n"/>
      <c r="Z868" s="43" t="n"/>
    </row>
    <row r="869">
      <c r="A869" s="43" t="n"/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  <c r="R869" s="43" t="n"/>
      <c r="S869" s="43" t="n"/>
      <c r="T869" s="43" t="n"/>
      <c r="U869" s="43" t="n"/>
      <c r="V869" s="43" t="n"/>
      <c r="W869" s="43" t="n"/>
      <c r="X869" s="43" t="n"/>
      <c r="Y869" s="43" t="n"/>
      <c r="Z869" s="43" t="n"/>
    </row>
    <row r="870">
      <c r="A870" s="43" t="n"/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  <c r="R870" s="43" t="n"/>
      <c r="S870" s="43" t="n"/>
      <c r="T870" s="43" t="n"/>
      <c r="U870" s="43" t="n"/>
      <c r="V870" s="43" t="n"/>
      <c r="W870" s="43" t="n"/>
      <c r="X870" s="43" t="n"/>
      <c r="Y870" s="43" t="n"/>
      <c r="Z870" s="43" t="n"/>
    </row>
    <row r="871">
      <c r="A871" s="43" t="n"/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  <c r="R871" s="43" t="n"/>
      <c r="S871" s="43" t="n"/>
      <c r="T871" s="43" t="n"/>
      <c r="U871" s="43" t="n"/>
      <c r="V871" s="43" t="n"/>
      <c r="W871" s="43" t="n"/>
      <c r="X871" s="43" t="n"/>
      <c r="Y871" s="43" t="n"/>
      <c r="Z871" s="43" t="n"/>
    </row>
    <row r="872">
      <c r="A872" s="43" t="n"/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  <c r="R872" s="43" t="n"/>
      <c r="S872" s="43" t="n"/>
      <c r="T872" s="43" t="n"/>
      <c r="U872" s="43" t="n"/>
      <c r="V872" s="43" t="n"/>
      <c r="W872" s="43" t="n"/>
      <c r="X872" s="43" t="n"/>
      <c r="Y872" s="43" t="n"/>
      <c r="Z872" s="43" t="n"/>
    </row>
    <row r="873">
      <c r="A873" s="43" t="n"/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  <c r="R873" s="43" t="n"/>
      <c r="S873" s="43" t="n"/>
      <c r="T873" s="43" t="n"/>
      <c r="U873" s="43" t="n"/>
      <c r="V873" s="43" t="n"/>
      <c r="W873" s="43" t="n"/>
      <c r="X873" s="43" t="n"/>
      <c r="Y873" s="43" t="n"/>
      <c r="Z873" s="43" t="n"/>
    </row>
    <row r="874">
      <c r="A874" s="43" t="n"/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  <c r="R874" s="43" t="n"/>
      <c r="S874" s="43" t="n"/>
      <c r="T874" s="43" t="n"/>
      <c r="U874" s="43" t="n"/>
      <c r="V874" s="43" t="n"/>
      <c r="W874" s="43" t="n"/>
      <c r="X874" s="43" t="n"/>
      <c r="Y874" s="43" t="n"/>
      <c r="Z874" s="43" t="n"/>
    </row>
    <row r="875">
      <c r="A875" s="43" t="n"/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  <c r="R875" s="43" t="n"/>
      <c r="S875" s="43" t="n"/>
      <c r="T875" s="43" t="n"/>
      <c r="U875" s="43" t="n"/>
      <c r="V875" s="43" t="n"/>
      <c r="W875" s="43" t="n"/>
      <c r="X875" s="43" t="n"/>
      <c r="Y875" s="43" t="n"/>
      <c r="Z875" s="43" t="n"/>
    </row>
    <row r="876">
      <c r="A876" s="43" t="n"/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  <c r="R876" s="43" t="n"/>
      <c r="S876" s="43" t="n"/>
      <c r="T876" s="43" t="n"/>
      <c r="U876" s="43" t="n"/>
      <c r="V876" s="43" t="n"/>
      <c r="W876" s="43" t="n"/>
      <c r="X876" s="43" t="n"/>
      <c r="Y876" s="43" t="n"/>
      <c r="Z876" s="43" t="n"/>
    </row>
    <row r="877">
      <c r="A877" s="43" t="n"/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  <c r="R877" s="43" t="n"/>
      <c r="S877" s="43" t="n"/>
      <c r="T877" s="43" t="n"/>
      <c r="U877" s="43" t="n"/>
      <c r="V877" s="43" t="n"/>
      <c r="W877" s="43" t="n"/>
      <c r="X877" s="43" t="n"/>
      <c r="Y877" s="43" t="n"/>
      <c r="Z877" s="43" t="n"/>
    </row>
    <row r="878">
      <c r="A878" s="43" t="n"/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  <c r="R878" s="43" t="n"/>
      <c r="S878" s="43" t="n"/>
      <c r="T878" s="43" t="n"/>
      <c r="U878" s="43" t="n"/>
      <c r="V878" s="43" t="n"/>
      <c r="W878" s="43" t="n"/>
      <c r="X878" s="43" t="n"/>
      <c r="Y878" s="43" t="n"/>
      <c r="Z878" s="43" t="n"/>
    </row>
    <row r="879">
      <c r="A879" s="43" t="n"/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  <c r="R879" s="43" t="n"/>
      <c r="S879" s="43" t="n"/>
      <c r="T879" s="43" t="n"/>
      <c r="U879" s="43" t="n"/>
      <c r="V879" s="43" t="n"/>
      <c r="W879" s="43" t="n"/>
      <c r="X879" s="43" t="n"/>
      <c r="Y879" s="43" t="n"/>
      <c r="Z879" s="43" t="n"/>
    </row>
    <row r="880">
      <c r="A880" s="43" t="n"/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  <c r="R880" s="43" t="n"/>
      <c r="S880" s="43" t="n"/>
      <c r="T880" s="43" t="n"/>
      <c r="U880" s="43" t="n"/>
      <c r="V880" s="43" t="n"/>
      <c r="W880" s="43" t="n"/>
      <c r="X880" s="43" t="n"/>
      <c r="Y880" s="43" t="n"/>
      <c r="Z880" s="43" t="n"/>
    </row>
    <row r="881">
      <c r="A881" s="43" t="n"/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  <c r="R881" s="43" t="n"/>
      <c r="S881" s="43" t="n"/>
      <c r="T881" s="43" t="n"/>
      <c r="U881" s="43" t="n"/>
      <c r="V881" s="43" t="n"/>
      <c r="W881" s="43" t="n"/>
      <c r="X881" s="43" t="n"/>
      <c r="Y881" s="43" t="n"/>
      <c r="Z881" s="43" t="n"/>
    </row>
    <row r="882">
      <c r="A882" s="43" t="n"/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  <c r="R882" s="43" t="n"/>
      <c r="S882" s="43" t="n"/>
      <c r="T882" s="43" t="n"/>
      <c r="U882" s="43" t="n"/>
      <c r="V882" s="43" t="n"/>
      <c r="W882" s="43" t="n"/>
      <c r="X882" s="43" t="n"/>
      <c r="Y882" s="43" t="n"/>
      <c r="Z882" s="43" t="n"/>
    </row>
    <row r="883">
      <c r="A883" s="43" t="n"/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  <c r="R883" s="43" t="n"/>
      <c r="S883" s="43" t="n"/>
      <c r="T883" s="43" t="n"/>
      <c r="U883" s="43" t="n"/>
      <c r="V883" s="43" t="n"/>
      <c r="W883" s="43" t="n"/>
      <c r="X883" s="43" t="n"/>
      <c r="Y883" s="43" t="n"/>
      <c r="Z883" s="43" t="n"/>
    </row>
    <row r="884">
      <c r="A884" s="43" t="n"/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  <c r="R884" s="43" t="n"/>
      <c r="S884" s="43" t="n"/>
      <c r="T884" s="43" t="n"/>
      <c r="U884" s="43" t="n"/>
      <c r="V884" s="43" t="n"/>
      <c r="W884" s="43" t="n"/>
      <c r="X884" s="43" t="n"/>
      <c r="Y884" s="43" t="n"/>
      <c r="Z884" s="43" t="n"/>
    </row>
    <row r="885">
      <c r="A885" s="43" t="n"/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  <c r="R885" s="43" t="n"/>
      <c r="S885" s="43" t="n"/>
      <c r="T885" s="43" t="n"/>
      <c r="U885" s="43" t="n"/>
      <c r="V885" s="43" t="n"/>
      <c r="W885" s="43" t="n"/>
      <c r="X885" s="43" t="n"/>
      <c r="Y885" s="43" t="n"/>
      <c r="Z885" s="43" t="n"/>
    </row>
    <row r="886">
      <c r="A886" s="43" t="n"/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  <c r="R886" s="43" t="n"/>
      <c r="S886" s="43" t="n"/>
      <c r="T886" s="43" t="n"/>
      <c r="U886" s="43" t="n"/>
      <c r="V886" s="43" t="n"/>
      <c r="W886" s="43" t="n"/>
      <c r="X886" s="43" t="n"/>
      <c r="Y886" s="43" t="n"/>
      <c r="Z886" s="43" t="n"/>
    </row>
    <row r="887">
      <c r="A887" s="43" t="n"/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  <c r="R887" s="43" t="n"/>
      <c r="S887" s="43" t="n"/>
      <c r="T887" s="43" t="n"/>
      <c r="U887" s="43" t="n"/>
      <c r="V887" s="43" t="n"/>
      <c r="W887" s="43" t="n"/>
      <c r="X887" s="43" t="n"/>
      <c r="Y887" s="43" t="n"/>
      <c r="Z887" s="43" t="n"/>
    </row>
    <row r="888">
      <c r="A888" s="43" t="n"/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  <c r="R888" s="43" t="n"/>
      <c r="S888" s="43" t="n"/>
      <c r="T888" s="43" t="n"/>
      <c r="U888" s="43" t="n"/>
      <c r="V888" s="43" t="n"/>
      <c r="W888" s="43" t="n"/>
      <c r="X888" s="43" t="n"/>
      <c r="Y888" s="43" t="n"/>
      <c r="Z888" s="43" t="n"/>
    </row>
    <row r="889">
      <c r="A889" s="43" t="n"/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  <c r="R889" s="43" t="n"/>
      <c r="S889" s="43" t="n"/>
      <c r="T889" s="43" t="n"/>
      <c r="U889" s="43" t="n"/>
      <c r="V889" s="43" t="n"/>
      <c r="W889" s="43" t="n"/>
      <c r="X889" s="43" t="n"/>
      <c r="Y889" s="43" t="n"/>
      <c r="Z889" s="43" t="n"/>
    </row>
    <row r="890">
      <c r="A890" s="43" t="n"/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  <c r="R890" s="43" t="n"/>
      <c r="S890" s="43" t="n"/>
      <c r="T890" s="43" t="n"/>
      <c r="U890" s="43" t="n"/>
      <c r="V890" s="43" t="n"/>
      <c r="W890" s="43" t="n"/>
      <c r="X890" s="43" t="n"/>
      <c r="Y890" s="43" t="n"/>
      <c r="Z890" s="43" t="n"/>
    </row>
    <row r="891">
      <c r="A891" s="43" t="n"/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  <c r="R891" s="43" t="n"/>
      <c r="S891" s="43" t="n"/>
      <c r="T891" s="43" t="n"/>
      <c r="U891" s="43" t="n"/>
      <c r="V891" s="43" t="n"/>
      <c r="W891" s="43" t="n"/>
      <c r="X891" s="43" t="n"/>
      <c r="Y891" s="43" t="n"/>
      <c r="Z891" s="43" t="n"/>
    </row>
    <row r="892">
      <c r="A892" s="43" t="n"/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  <c r="R892" s="43" t="n"/>
      <c r="S892" s="43" t="n"/>
      <c r="T892" s="43" t="n"/>
      <c r="U892" s="43" t="n"/>
      <c r="V892" s="43" t="n"/>
      <c r="W892" s="43" t="n"/>
      <c r="X892" s="43" t="n"/>
      <c r="Y892" s="43" t="n"/>
      <c r="Z892" s="43" t="n"/>
    </row>
    <row r="893">
      <c r="A893" s="43" t="n"/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  <c r="R893" s="43" t="n"/>
      <c r="S893" s="43" t="n"/>
      <c r="T893" s="43" t="n"/>
      <c r="U893" s="43" t="n"/>
      <c r="V893" s="43" t="n"/>
      <c r="W893" s="43" t="n"/>
      <c r="X893" s="43" t="n"/>
      <c r="Y893" s="43" t="n"/>
      <c r="Z893" s="43" t="n"/>
    </row>
    <row r="894">
      <c r="A894" s="43" t="n"/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  <c r="R894" s="43" t="n"/>
      <c r="S894" s="43" t="n"/>
      <c r="T894" s="43" t="n"/>
      <c r="U894" s="43" t="n"/>
      <c r="V894" s="43" t="n"/>
      <c r="W894" s="43" t="n"/>
      <c r="X894" s="43" t="n"/>
      <c r="Y894" s="43" t="n"/>
      <c r="Z894" s="43" t="n"/>
    </row>
    <row r="895">
      <c r="A895" s="43" t="n"/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  <c r="R895" s="43" t="n"/>
      <c r="S895" s="43" t="n"/>
      <c r="T895" s="43" t="n"/>
      <c r="U895" s="43" t="n"/>
      <c r="V895" s="43" t="n"/>
      <c r="W895" s="43" t="n"/>
      <c r="X895" s="43" t="n"/>
      <c r="Y895" s="43" t="n"/>
      <c r="Z895" s="43" t="n"/>
    </row>
    <row r="896">
      <c r="A896" s="43" t="n"/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  <c r="R896" s="43" t="n"/>
      <c r="S896" s="43" t="n"/>
      <c r="T896" s="43" t="n"/>
      <c r="U896" s="43" t="n"/>
      <c r="V896" s="43" t="n"/>
      <c r="W896" s="43" t="n"/>
      <c r="X896" s="43" t="n"/>
      <c r="Y896" s="43" t="n"/>
      <c r="Z896" s="43" t="n"/>
    </row>
    <row r="897">
      <c r="A897" s="43" t="n"/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  <c r="R897" s="43" t="n"/>
      <c r="S897" s="43" t="n"/>
      <c r="T897" s="43" t="n"/>
      <c r="U897" s="43" t="n"/>
      <c r="V897" s="43" t="n"/>
      <c r="W897" s="43" t="n"/>
      <c r="X897" s="43" t="n"/>
      <c r="Y897" s="43" t="n"/>
      <c r="Z897" s="43" t="n"/>
    </row>
    <row r="898">
      <c r="A898" s="43" t="n"/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  <c r="R898" s="43" t="n"/>
      <c r="S898" s="43" t="n"/>
      <c r="T898" s="43" t="n"/>
      <c r="U898" s="43" t="n"/>
      <c r="V898" s="43" t="n"/>
      <c r="W898" s="43" t="n"/>
      <c r="X898" s="43" t="n"/>
      <c r="Y898" s="43" t="n"/>
      <c r="Z898" s="43" t="n"/>
    </row>
    <row r="899">
      <c r="A899" s="43" t="n"/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  <c r="R899" s="43" t="n"/>
      <c r="S899" s="43" t="n"/>
      <c r="T899" s="43" t="n"/>
      <c r="U899" s="43" t="n"/>
      <c r="V899" s="43" t="n"/>
      <c r="W899" s="43" t="n"/>
      <c r="X899" s="43" t="n"/>
      <c r="Y899" s="43" t="n"/>
      <c r="Z899" s="43" t="n"/>
    </row>
    <row r="900">
      <c r="A900" s="43" t="n"/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  <c r="R900" s="43" t="n"/>
      <c r="S900" s="43" t="n"/>
      <c r="T900" s="43" t="n"/>
      <c r="U900" s="43" t="n"/>
      <c r="V900" s="43" t="n"/>
      <c r="W900" s="43" t="n"/>
      <c r="X900" s="43" t="n"/>
      <c r="Y900" s="43" t="n"/>
      <c r="Z900" s="43" t="n"/>
    </row>
    <row r="901">
      <c r="A901" s="43" t="n"/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  <c r="R901" s="43" t="n"/>
      <c r="S901" s="43" t="n"/>
      <c r="T901" s="43" t="n"/>
      <c r="U901" s="43" t="n"/>
      <c r="V901" s="43" t="n"/>
      <c r="W901" s="43" t="n"/>
      <c r="X901" s="43" t="n"/>
      <c r="Y901" s="43" t="n"/>
      <c r="Z901" s="43" t="n"/>
    </row>
    <row r="902">
      <c r="A902" s="43" t="n"/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  <c r="R902" s="43" t="n"/>
      <c r="S902" s="43" t="n"/>
      <c r="T902" s="43" t="n"/>
      <c r="U902" s="43" t="n"/>
      <c r="V902" s="43" t="n"/>
      <c r="W902" s="43" t="n"/>
      <c r="X902" s="43" t="n"/>
      <c r="Y902" s="43" t="n"/>
      <c r="Z902" s="43" t="n"/>
    </row>
    <row r="903">
      <c r="A903" s="43" t="n"/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  <c r="R903" s="43" t="n"/>
      <c r="S903" s="43" t="n"/>
      <c r="T903" s="43" t="n"/>
      <c r="U903" s="43" t="n"/>
      <c r="V903" s="43" t="n"/>
      <c r="W903" s="43" t="n"/>
      <c r="X903" s="43" t="n"/>
      <c r="Y903" s="43" t="n"/>
      <c r="Z903" s="43" t="n"/>
    </row>
    <row r="904">
      <c r="A904" s="43" t="n"/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  <c r="R904" s="43" t="n"/>
      <c r="S904" s="43" t="n"/>
      <c r="T904" s="43" t="n"/>
      <c r="U904" s="43" t="n"/>
      <c r="V904" s="43" t="n"/>
      <c r="W904" s="43" t="n"/>
      <c r="X904" s="43" t="n"/>
      <c r="Y904" s="43" t="n"/>
      <c r="Z904" s="43" t="n"/>
    </row>
    <row r="905">
      <c r="A905" s="43" t="n"/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  <c r="R905" s="43" t="n"/>
      <c r="S905" s="43" t="n"/>
      <c r="T905" s="43" t="n"/>
      <c r="U905" s="43" t="n"/>
      <c r="V905" s="43" t="n"/>
      <c r="W905" s="43" t="n"/>
      <c r="X905" s="43" t="n"/>
      <c r="Y905" s="43" t="n"/>
      <c r="Z905" s="43" t="n"/>
    </row>
    <row r="906">
      <c r="A906" s="43" t="n"/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  <c r="R906" s="43" t="n"/>
      <c r="S906" s="43" t="n"/>
      <c r="T906" s="43" t="n"/>
      <c r="U906" s="43" t="n"/>
      <c r="V906" s="43" t="n"/>
      <c r="W906" s="43" t="n"/>
      <c r="X906" s="43" t="n"/>
      <c r="Y906" s="43" t="n"/>
      <c r="Z906" s="43" t="n"/>
    </row>
    <row r="907">
      <c r="A907" s="43" t="n"/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  <c r="R907" s="43" t="n"/>
      <c r="S907" s="43" t="n"/>
      <c r="T907" s="43" t="n"/>
      <c r="U907" s="43" t="n"/>
      <c r="V907" s="43" t="n"/>
      <c r="W907" s="43" t="n"/>
      <c r="X907" s="43" t="n"/>
      <c r="Y907" s="43" t="n"/>
      <c r="Z907" s="43" t="n"/>
    </row>
    <row r="908">
      <c r="A908" s="43" t="n"/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  <c r="R908" s="43" t="n"/>
      <c r="S908" s="43" t="n"/>
      <c r="T908" s="43" t="n"/>
      <c r="U908" s="43" t="n"/>
      <c r="V908" s="43" t="n"/>
      <c r="W908" s="43" t="n"/>
      <c r="X908" s="43" t="n"/>
      <c r="Y908" s="43" t="n"/>
      <c r="Z908" s="43" t="n"/>
    </row>
    <row r="909">
      <c r="A909" s="43" t="n"/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  <c r="R909" s="43" t="n"/>
      <c r="S909" s="43" t="n"/>
      <c r="T909" s="43" t="n"/>
      <c r="U909" s="43" t="n"/>
      <c r="V909" s="43" t="n"/>
      <c r="W909" s="43" t="n"/>
      <c r="X909" s="43" t="n"/>
      <c r="Y909" s="43" t="n"/>
      <c r="Z909" s="43" t="n"/>
    </row>
    <row r="910">
      <c r="A910" s="43" t="n"/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  <c r="R910" s="43" t="n"/>
      <c r="S910" s="43" t="n"/>
      <c r="T910" s="43" t="n"/>
      <c r="U910" s="43" t="n"/>
      <c r="V910" s="43" t="n"/>
      <c r="W910" s="43" t="n"/>
      <c r="X910" s="43" t="n"/>
      <c r="Y910" s="43" t="n"/>
      <c r="Z910" s="43" t="n"/>
    </row>
    <row r="911">
      <c r="A911" s="43" t="n"/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  <c r="R911" s="43" t="n"/>
      <c r="S911" s="43" t="n"/>
      <c r="T911" s="43" t="n"/>
      <c r="U911" s="43" t="n"/>
      <c r="V911" s="43" t="n"/>
      <c r="W911" s="43" t="n"/>
      <c r="X911" s="43" t="n"/>
      <c r="Y911" s="43" t="n"/>
      <c r="Z911" s="43" t="n"/>
    </row>
    <row r="912">
      <c r="A912" s="43" t="n"/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  <c r="R912" s="43" t="n"/>
      <c r="S912" s="43" t="n"/>
      <c r="T912" s="43" t="n"/>
      <c r="U912" s="43" t="n"/>
      <c r="V912" s="43" t="n"/>
      <c r="W912" s="43" t="n"/>
      <c r="X912" s="43" t="n"/>
      <c r="Y912" s="43" t="n"/>
      <c r="Z912" s="43" t="n"/>
    </row>
    <row r="913">
      <c r="A913" s="43" t="n"/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  <c r="R913" s="43" t="n"/>
      <c r="S913" s="43" t="n"/>
      <c r="T913" s="43" t="n"/>
      <c r="U913" s="43" t="n"/>
      <c r="V913" s="43" t="n"/>
      <c r="W913" s="43" t="n"/>
      <c r="X913" s="43" t="n"/>
      <c r="Y913" s="43" t="n"/>
      <c r="Z913" s="43" t="n"/>
    </row>
    <row r="914">
      <c r="A914" s="43" t="n"/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  <c r="R914" s="43" t="n"/>
      <c r="S914" s="43" t="n"/>
      <c r="T914" s="43" t="n"/>
      <c r="U914" s="43" t="n"/>
      <c r="V914" s="43" t="n"/>
      <c r="W914" s="43" t="n"/>
      <c r="X914" s="43" t="n"/>
      <c r="Y914" s="43" t="n"/>
      <c r="Z914" s="43" t="n"/>
    </row>
    <row r="915">
      <c r="A915" s="43" t="n"/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  <c r="R915" s="43" t="n"/>
      <c r="S915" s="43" t="n"/>
      <c r="T915" s="43" t="n"/>
      <c r="U915" s="43" t="n"/>
      <c r="V915" s="43" t="n"/>
      <c r="W915" s="43" t="n"/>
      <c r="X915" s="43" t="n"/>
      <c r="Y915" s="43" t="n"/>
      <c r="Z915" s="43" t="n"/>
    </row>
    <row r="916">
      <c r="A916" s="43" t="n"/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  <c r="R916" s="43" t="n"/>
      <c r="S916" s="43" t="n"/>
      <c r="T916" s="43" t="n"/>
      <c r="U916" s="43" t="n"/>
      <c r="V916" s="43" t="n"/>
      <c r="W916" s="43" t="n"/>
      <c r="X916" s="43" t="n"/>
      <c r="Y916" s="43" t="n"/>
      <c r="Z916" s="43" t="n"/>
    </row>
    <row r="917">
      <c r="A917" s="43" t="n"/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  <c r="R917" s="43" t="n"/>
      <c r="S917" s="43" t="n"/>
      <c r="T917" s="43" t="n"/>
      <c r="U917" s="43" t="n"/>
      <c r="V917" s="43" t="n"/>
      <c r="W917" s="43" t="n"/>
      <c r="X917" s="43" t="n"/>
      <c r="Y917" s="43" t="n"/>
      <c r="Z917" s="43" t="n"/>
    </row>
    <row r="918">
      <c r="A918" s="43" t="n"/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  <c r="R918" s="43" t="n"/>
      <c r="S918" s="43" t="n"/>
      <c r="T918" s="43" t="n"/>
      <c r="U918" s="43" t="n"/>
      <c r="V918" s="43" t="n"/>
      <c r="W918" s="43" t="n"/>
      <c r="X918" s="43" t="n"/>
      <c r="Y918" s="43" t="n"/>
      <c r="Z918" s="43" t="n"/>
    </row>
    <row r="919">
      <c r="A919" s="43" t="n"/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  <c r="R919" s="43" t="n"/>
      <c r="S919" s="43" t="n"/>
      <c r="T919" s="43" t="n"/>
      <c r="U919" s="43" t="n"/>
      <c r="V919" s="43" t="n"/>
      <c r="W919" s="43" t="n"/>
      <c r="X919" s="43" t="n"/>
      <c r="Y919" s="43" t="n"/>
      <c r="Z919" s="43" t="n"/>
    </row>
    <row r="920">
      <c r="A920" s="43" t="n"/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  <c r="R920" s="43" t="n"/>
      <c r="S920" s="43" t="n"/>
      <c r="T920" s="43" t="n"/>
      <c r="U920" s="43" t="n"/>
      <c r="V920" s="43" t="n"/>
      <c r="W920" s="43" t="n"/>
      <c r="X920" s="43" t="n"/>
      <c r="Y920" s="43" t="n"/>
      <c r="Z920" s="43" t="n"/>
    </row>
    <row r="921">
      <c r="A921" s="43" t="n"/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  <c r="R921" s="43" t="n"/>
      <c r="S921" s="43" t="n"/>
      <c r="T921" s="43" t="n"/>
      <c r="U921" s="43" t="n"/>
      <c r="V921" s="43" t="n"/>
      <c r="W921" s="43" t="n"/>
      <c r="X921" s="43" t="n"/>
      <c r="Y921" s="43" t="n"/>
      <c r="Z921" s="43" t="n"/>
    </row>
    <row r="922">
      <c r="A922" s="43" t="n"/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  <c r="R922" s="43" t="n"/>
      <c r="S922" s="43" t="n"/>
      <c r="T922" s="43" t="n"/>
      <c r="U922" s="43" t="n"/>
      <c r="V922" s="43" t="n"/>
      <c r="W922" s="43" t="n"/>
      <c r="X922" s="43" t="n"/>
      <c r="Y922" s="43" t="n"/>
      <c r="Z922" s="43" t="n"/>
    </row>
    <row r="923">
      <c r="A923" s="43" t="n"/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  <c r="R923" s="43" t="n"/>
      <c r="S923" s="43" t="n"/>
      <c r="T923" s="43" t="n"/>
      <c r="U923" s="43" t="n"/>
      <c r="V923" s="43" t="n"/>
      <c r="W923" s="43" t="n"/>
      <c r="X923" s="43" t="n"/>
      <c r="Y923" s="43" t="n"/>
      <c r="Z923" s="43" t="n"/>
    </row>
    <row r="924">
      <c r="A924" s="43" t="n"/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  <c r="R924" s="43" t="n"/>
      <c r="S924" s="43" t="n"/>
      <c r="T924" s="43" t="n"/>
      <c r="U924" s="43" t="n"/>
      <c r="V924" s="43" t="n"/>
      <c r="W924" s="43" t="n"/>
      <c r="X924" s="43" t="n"/>
      <c r="Y924" s="43" t="n"/>
      <c r="Z924" s="43" t="n"/>
    </row>
    <row r="925">
      <c r="A925" s="43" t="n"/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  <c r="R925" s="43" t="n"/>
      <c r="S925" s="43" t="n"/>
      <c r="T925" s="43" t="n"/>
      <c r="U925" s="43" t="n"/>
      <c r="V925" s="43" t="n"/>
      <c r="W925" s="43" t="n"/>
      <c r="X925" s="43" t="n"/>
      <c r="Y925" s="43" t="n"/>
      <c r="Z925" s="43" t="n"/>
    </row>
    <row r="926">
      <c r="A926" s="43" t="n"/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  <c r="R926" s="43" t="n"/>
      <c r="S926" s="43" t="n"/>
      <c r="T926" s="43" t="n"/>
      <c r="U926" s="43" t="n"/>
      <c r="V926" s="43" t="n"/>
      <c r="W926" s="43" t="n"/>
      <c r="X926" s="43" t="n"/>
      <c r="Y926" s="43" t="n"/>
      <c r="Z926" s="43" t="n"/>
    </row>
    <row r="927">
      <c r="A927" s="43" t="n"/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  <c r="R927" s="43" t="n"/>
      <c r="S927" s="43" t="n"/>
      <c r="T927" s="43" t="n"/>
      <c r="U927" s="43" t="n"/>
      <c r="V927" s="43" t="n"/>
      <c r="W927" s="43" t="n"/>
      <c r="X927" s="43" t="n"/>
      <c r="Y927" s="43" t="n"/>
      <c r="Z927" s="43" t="n"/>
    </row>
    <row r="928">
      <c r="A928" s="43" t="n"/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  <c r="R928" s="43" t="n"/>
      <c r="S928" s="43" t="n"/>
      <c r="T928" s="43" t="n"/>
      <c r="U928" s="43" t="n"/>
      <c r="V928" s="43" t="n"/>
      <c r="W928" s="43" t="n"/>
      <c r="X928" s="43" t="n"/>
      <c r="Y928" s="43" t="n"/>
      <c r="Z928" s="43" t="n"/>
    </row>
    <row r="929">
      <c r="A929" s="43" t="n"/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  <c r="R929" s="43" t="n"/>
      <c r="S929" s="43" t="n"/>
      <c r="T929" s="43" t="n"/>
      <c r="U929" s="43" t="n"/>
      <c r="V929" s="43" t="n"/>
      <c r="W929" s="43" t="n"/>
      <c r="X929" s="43" t="n"/>
      <c r="Y929" s="43" t="n"/>
      <c r="Z929" s="43" t="n"/>
    </row>
    <row r="930">
      <c r="A930" s="43" t="n"/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  <c r="R930" s="43" t="n"/>
      <c r="S930" s="43" t="n"/>
      <c r="T930" s="43" t="n"/>
      <c r="U930" s="43" t="n"/>
      <c r="V930" s="43" t="n"/>
      <c r="W930" s="43" t="n"/>
      <c r="X930" s="43" t="n"/>
      <c r="Y930" s="43" t="n"/>
      <c r="Z930" s="43" t="n"/>
    </row>
    <row r="931">
      <c r="A931" s="43" t="n"/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  <c r="R931" s="43" t="n"/>
      <c r="S931" s="43" t="n"/>
      <c r="T931" s="43" t="n"/>
      <c r="U931" s="43" t="n"/>
      <c r="V931" s="43" t="n"/>
      <c r="W931" s="43" t="n"/>
      <c r="X931" s="43" t="n"/>
      <c r="Y931" s="43" t="n"/>
      <c r="Z931" s="43" t="n"/>
    </row>
    <row r="932">
      <c r="A932" s="43" t="n"/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  <c r="R932" s="43" t="n"/>
      <c r="S932" s="43" t="n"/>
      <c r="T932" s="43" t="n"/>
      <c r="U932" s="43" t="n"/>
      <c r="V932" s="43" t="n"/>
      <c r="W932" s="43" t="n"/>
      <c r="X932" s="43" t="n"/>
      <c r="Y932" s="43" t="n"/>
      <c r="Z932" s="43" t="n"/>
    </row>
    <row r="933">
      <c r="A933" s="43" t="n"/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  <c r="R933" s="43" t="n"/>
      <c r="S933" s="43" t="n"/>
      <c r="T933" s="43" t="n"/>
      <c r="U933" s="43" t="n"/>
      <c r="V933" s="43" t="n"/>
      <c r="W933" s="43" t="n"/>
      <c r="X933" s="43" t="n"/>
      <c r="Y933" s="43" t="n"/>
      <c r="Z933" s="43" t="n"/>
    </row>
    <row r="934">
      <c r="A934" s="43" t="n"/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  <c r="R934" s="43" t="n"/>
      <c r="S934" s="43" t="n"/>
      <c r="T934" s="43" t="n"/>
      <c r="U934" s="43" t="n"/>
      <c r="V934" s="43" t="n"/>
      <c r="W934" s="43" t="n"/>
      <c r="X934" s="43" t="n"/>
      <c r="Y934" s="43" t="n"/>
      <c r="Z934" s="43" t="n"/>
    </row>
    <row r="935">
      <c r="A935" s="43" t="n"/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  <c r="R935" s="43" t="n"/>
      <c r="S935" s="43" t="n"/>
      <c r="T935" s="43" t="n"/>
      <c r="U935" s="43" t="n"/>
      <c r="V935" s="43" t="n"/>
      <c r="W935" s="43" t="n"/>
      <c r="X935" s="43" t="n"/>
      <c r="Y935" s="43" t="n"/>
      <c r="Z935" s="43" t="n"/>
    </row>
    <row r="936">
      <c r="A936" s="43" t="n"/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  <c r="R936" s="43" t="n"/>
      <c r="S936" s="43" t="n"/>
      <c r="T936" s="43" t="n"/>
      <c r="U936" s="43" t="n"/>
      <c r="V936" s="43" t="n"/>
      <c r="W936" s="43" t="n"/>
      <c r="X936" s="43" t="n"/>
      <c r="Y936" s="43" t="n"/>
      <c r="Z936" s="43" t="n"/>
    </row>
    <row r="937">
      <c r="A937" s="43" t="n"/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  <c r="R937" s="43" t="n"/>
      <c r="S937" s="43" t="n"/>
      <c r="T937" s="43" t="n"/>
      <c r="U937" s="43" t="n"/>
      <c r="V937" s="43" t="n"/>
      <c r="W937" s="43" t="n"/>
      <c r="X937" s="43" t="n"/>
      <c r="Y937" s="43" t="n"/>
      <c r="Z937" s="43" t="n"/>
    </row>
    <row r="938">
      <c r="A938" s="43" t="n"/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  <c r="R938" s="43" t="n"/>
      <c r="S938" s="43" t="n"/>
      <c r="T938" s="43" t="n"/>
      <c r="U938" s="43" t="n"/>
      <c r="V938" s="43" t="n"/>
      <c r="W938" s="43" t="n"/>
      <c r="X938" s="43" t="n"/>
      <c r="Y938" s="43" t="n"/>
      <c r="Z938" s="43" t="n"/>
    </row>
    <row r="939">
      <c r="A939" s="43" t="n"/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  <c r="R939" s="43" t="n"/>
      <c r="S939" s="43" t="n"/>
      <c r="T939" s="43" t="n"/>
      <c r="U939" s="43" t="n"/>
      <c r="V939" s="43" t="n"/>
      <c r="W939" s="43" t="n"/>
      <c r="X939" s="43" t="n"/>
      <c r="Y939" s="43" t="n"/>
      <c r="Z939" s="43" t="n"/>
    </row>
    <row r="940">
      <c r="A940" s="43" t="n"/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  <c r="R940" s="43" t="n"/>
      <c r="S940" s="43" t="n"/>
      <c r="T940" s="43" t="n"/>
      <c r="U940" s="43" t="n"/>
      <c r="V940" s="43" t="n"/>
      <c r="W940" s="43" t="n"/>
      <c r="X940" s="43" t="n"/>
      <c r="Y940" s="43" t="n"/>
      <c r="Z940" s="43" t="n"/>
    </row>
    <row r="941">
      <c r="A941" s="43" t="n"/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  <c r="R941" s="43" t="n"/>
      <c r="S941" s="43" t="n"/>
      <c r="T941" s="43" t="n"/>
      <c r="U941" s="43" t="n"/>
      <c r="V941" s="43" t="n"/>
      <c r="W941" s="43" t="n"/>
      <c r="X941" s="43" t="n"/>
      <c r="Y941" s="43" t="n"/>
      <c r="Z941" s="43" t="n"/>
    </row>
    <row r="942">
      <c r="A942" s="43" t="n"/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  <c r="R942" s="43" t="n"/>
      <c r="S942" s="43" t="n"/>
      <c r="T942" s="43" t="n"/>
      <c r="U942" s="43" t="n"/>
      <c r="V942" s="43" t="n"/>
      <c r="W942" s="43" t="n"/>
      <c r="X942" s="43" t="n"/>
      <c r="Y942" s="43" t="n"/>
      <c r="Z942" s="43" t="n"/>
    </row>
    <row r="943">
      <c r="A943" s="43" t="n"/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  <c r="R943" s="43" t="n"/>
      <c r="S943" s="43" t="n"/>
      <c r="T943" s="43" t="n"/>
      <c r="U943" s="43" t="n"/>
      <c r="V943" s="43" t="n"/>
      <c r="W943" s="43" t="n"/>
      <c r="X943" s="43" t="n"/>
      <c r="Y943" s="43" t="n"/>
      <c r="Z943" s="43" t="n"/>
    </row>
    <row r="944">
      <c r="A944" s="43" t="n"/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  <c r="R944" s="43" t="n"/>
      <c r="S944" s="43" t="n"/>
      <c r="T944" s="43" t="n"/>
      <c r="U944" s="43" t="n"/>
      <c r="V944" s="43" t="n"/>
      <c r="W944" s="43" t="n"/>
      <c r="X944" s="43" t="n"/>
      <c r="Y944" s="43" t="n"/>
      <c r="Z944" s="43" t="n"/>
    </row>
    <row r="945">
      <c r="A945" s="43" t="n"/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  <c r="R945" s="43" t="n"/>
      <c r="S945" s="43" t="n"/>
      <c r="T945" s="43" t="n"/>
      <c r="U945" s="43" t="n"/>
      <c r="V945" s="43" t="n"/>
      <c r="W945" s="43" t="n"/>
      <c r="X945" s="43" t="n"/>
      <c r="Y945" s="43" t="n"/>
      <c r="Z945" s="43" t="n"/>
    </row>
    <row r="946">
      <c r="A946" s="43" t="n"/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  <c r="R946" s="43" t="n"/>
      <c r="S946" s="43" t="n"/>
      <c r="T946" s="43" t="n"/>
      <c r="U946" s="43" t="n"/>
      <c r="V946" s="43" t="n"/>
      <c r="W946" s="43" t="n"/>
      <c r="X946" s="43" t="n"/>
      <c r="Y946" s="43" t="n"/>
      <c r="Z946" s="43" t="n"/>
    </row>
    <row r="947">
      <c r="A947" s="43" t="n"/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  <c r="R947" s="43" t="n"/>
      <c r="S947" s="43" t="n"/>
      <c r="T947" s="43" t="n"/>
      <c r="U947" s="43" t="n"/>
      <c r="V947" s="43" t="n"/>
      <c r="W947" s="43" t="n"/>
      <c r="X947" s="43" t="n"/>
      <c r="Y947" s="43" t="n"/>
      <c r="Z947" s="43" t="n"/>
    </row>
    <row r="948">
      <c r="A948" s="43" t="n"/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  <c r="R948" s="43" t="n"/>
      <c r="S948" s="43" t="n"/>
      <c r="T948" s="43" t="n"/>
      <c r="U948" s="43" t="n"/>
      <c r="V948" s="43" t="n"/>
      <c r="W948" s="43" t="n"/>
      <c r="X948" s="43" t="n"/>
      <c r="Y948" s="43" t="n"/>
      <c r="Z948" s="43" t="n"/>
    </row>
    <row r="949">
      <c r="A949" s="43" t="n"/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  <c r="R949" s="43" t="n"/>
      <c r="S949" s="43" t="n"/>
      <c r="T949" s="43" t="n"/>
      <c r="U949" s="43" t="n"/>
      <c r="V949" s="43" t="n"/>
      <c r="W949" s="43" t="n"/>
      <c r="X949" s="43" t="n"/>
      <c r="Y949" s="43" t="n"/>
      <c r="Z949" s="43" t="n"/>
    </row>
    <row r="950">
      <c r="A950" s="43" t="n"/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  <c r="R950" s="43" t="n"/>
      <c r="S950" s="43" t="n"/>
      <c r="T950" s="43" t="n"/>
      <c r="U950" s="43" t="n"/>
      <c r="V950" s="43" t="n"/>
      <c r="W950" s="43" t="n"/>
      <c r="X950" s="43" t="n"/>
      <c r="Y950" s="43" t="n"/>
      <c r="Z950" s="43" t="n"/>
    </row>
    <row r="951">
      <c r="A951" s="43" t="n"/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  <c r="R951" s="43" t="n"/>
      <c r="S951" s="43" t="n"/>
      <c r="T951" s="43" t="n"/>
      <c r="U951" s="43" t="n"/>
      <c r="V951" s="43" t="n"/>
      <c r="W951" s="43" t="n"/>
      <c r="X951" s="43" t="n"/>
      <c r="Y951" s="43" t="n"/>
      <c r="Z951" s="43" t="n"/>
    </row>
    <row r="952">
      <c r="A952" s="43" t="n"/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  <c r="R952" s="43" t="n"/>
      <c r="S952" s="43" t="n"/>
      <c r="T952" s="43" t="n"/>
      <c r="U952" s="43" t="n"/>
      <c r="V952" s="43" t="n"/>
      <c r="W952" s="43" t="n"/>
      <c r="X952" s="43" t="n"/>
      <c r="Y952" s="43" t="n"/>
      <c r="Z952" s="43" t="n"/>
    </row>
    <row r="953">
      <c r="A953" s="43" t="n"/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  <c r="R953" s="43" t="n"/>
      <c r="S953" s="43" t="n"/>
      <c r="T953" s="43" t="n"/>
      <c r="U953" s="43" t="n"/>
      <c r="V953" s="43" t="n"/>
      <c r="W953" s="43" t="n"/>
      <c r="X953" s="43" t="n"/>
      <c r="Y953" s="43" t="n"/>
      <c r="Z953" s="43" t="n"/>
    </row>
    <row r="954">
      <c r="A954" s="43" t="n"/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  <c r="R954" s="43" t="n"/>
      <c r="S954" s="43" t="n"/>
      <c r="T954" s="43" t="n"/>
      <c r="U954" s="43" t="n"/>
      <c r="V954" s="43" t="n"/>
      <c r="W954" s="43" t="n"/>
      <c r="X954" s="43" t="n"/>
      <c r="Y954" s="43" t="n"/>
      <c r="Z954" s="43" t="n"/>
    </row>
    <row r="955">
      <c r="A955" s="43" t="n"/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  <c r="R955" s="43" t="n"/>
      <c r="S955" s="43" t="n"/>
      <c r="T955" s="43" t="n"/>
      <c r="U955" s="43" t="n"/>
      <c r="V955" s="43" t="n"/>
      <c r="W955" s="43" t="n"/>
      <c r="X955" s="43" t="n"/>
      <c r="Y955" s="43" t="n"/>
      <c r="Z955" s="43" t="n"/>
    </row>
    <row r="956">
      <c r="A956" s="43" t="n"/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  <c r="R956" s="43" t="n"/>
      <c r="S956" s="43" t="n"/>
      <c r="T956" s="43" t="n"/>
      <c r="U956" s="43" t="n"/>
      <c r="V956" s="43" t="n"/>
      <c r="W956" s="43" t="n"/>
      <c r="X956" s="43" t="n"/>
      <c r="Y956" s="43" t="n"/>
      <c r="Z956" s="43" t="n"/>
    </row>
    <row r="957">
      <c r="A957" s="43" t="n"/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  <c r="R957" s="43" t="n"/>
      <c r="S957" s="43" t="n"/>
      <c r="T957" s="43" t="n"/>
      <c r="U957" s="43" t="n"/>
      <c r="V957" s="43" t="n"/>
      <c r="W957" s="43" t="n"/>
      <c r="X957" s="43" t="n"/>
      <c r="Y957" s="43" t="n"/>
      <c r="Z957" s="43" t="n"/>
    </row>
    <row r="958">
      <c r="A958" s="43" t="n"/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  <c r="R958" s="43" t="n"/>
      <c r="S958" s="43" t="n"/>
      <c r="T958" s="43" t="n"/>
      <c r="U958" s="43" t="n"/>
      <c r="V958" s="43" t="n"/>
      <c r="W958" s="43" t="n"/>
      <c r="X958" s="43" t="n"/>
      <c r="Y958" s="43" t="n"/>
      <c r="Z958" s="43" t="n"/>
    </row>
    <row r="959">
      <c r="A959" s="43" t="n"/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  <c r="R959" s="43" t="n"/>
      <c r="S959" s="43" t="n"/>
      <c r="T959" s="43" t="n"/>
      <c r="U959" s="43" t="n"/>
      <c r="V959" s="43" t="n"/>
      <c r="W959" s="43" t="n"/>
      <c r="X959" s="43" t="n"/>
      <c r="Y959" s="43" t="n"/>
      <c r="Z959" s="43" t="n"/>
    </row>
    <row r="960">
      <c r="A960" s="43" t="n"/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  <c r="R960" s="43" t="n"/>
      <c r="S960" s="43" t="n"/>
      <c r="T960" s="43" t="n"/>
      <c r="U960" s="43" t="n"/>
      <c r="V960" s="43" t="n"/>
      <c r="W960" s="43" t="n"/>
      <c r="X960" s="43" t="n"/>
      <c r="Y960" s="43" t="n"/>
      <c r="Z960" s="43" t="n"/>
    </row>
    <row r="961">
      <c r="A961" s="43" t="n"/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  <c r="R961" s="43" t="n"/>
      <c r="S961" s="43" t="n"/>
      <c r="T961" s="43" t="n"/>
      <c r="U961" s="43" t="n"/>
      <c r="V961" s="43" t="n"/>
      <c r="W961" s="43" t="n"/>
      <c r="X961" s="43" t="n"/>
      <c r="Y961" s="43" t="n"/>
      <c r="Z961" s="43" t="n"/>
    </row>
    <row r="962">
      <c r="A962" s="43" t="n"/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  <c r="R962" s="43" t="n"/>
      <c r="S962" s="43" t="n"/>
      <c r="T962" s="43" t="n"/>
      <c r="U962" s="43" t="n"/>
      <c r="V962" s="43" t="n"/>
      <c r="W962" s="43" t="n"/>
      <c r="X962" s="43" t="n"/>
      <c r="Y962" s="43" t="n"/>
      <c r="Z962" s="43" t="n"/>
    </row>
    <row r="963">
      <c r="A963" s="43" t="n"/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  <c r="R963" s="43" t="n"/>
      <c r="S963" s="43" t="n"/>
      <c r="T963" s="43" t="n"/>
      <c r="U963" s="43" t="n"/>
      <c r="V963" s="43" t="n"/>
      <c r="W963" s="43" t="n"/>
      <c r="X963" s="43" t="n"/>
      <c r="Y963" s="43" t="n"/>
      <c r="Z963" s="43" t="n"/>
    </row>
    <row r="964">
      <c r="A964" s="43" t="n"/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  <c r="R964" s="43" t="n"/>
      <c r="S964" s="43" t="n"/>
      <c r="T964" s="43" t="n"/>
      <c r="U964" s="43" t="n"/>
      <c r="V964" s="43" t="n"/>
      <c r="W964" s="43" t="n"/>
      <c r="X964" s="43" t="n"/>
      <c r="Y964" s="43" t="n"/>
      <c r="Z964" s="43" t="n"/>
    </row>
    <row r="965">
      <c r="A965" s="43" t="n"/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  <c r="R965" s="43" t="n"/>
      <c r="S965" s="43" t="n"/>
      <c r="T965" s="43" t="n"/>
      <c r="U965" s="43" t="n"/>
      <c r="V965" s="43" t="n"/>
      <c r="W965" s="43" t="n"/>
      <c r="X965" s="43" t="n"/>
      <c r="Y965" s="43" t="n"/>
      <c r="Z965" s="43" t="n"/>
    </row>
    <row r="966">
      <c r="A966" s="43" t="n"/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  <c r="R966" s="43" t="n"/>
      <c r="S966" s="43" t="n"/>
      <c r="T966" s="43" t="n"/>
      <c r="U966" s="43" t="n"/>
      <c r="V966" s="43" t="n"/>
      <c r="W966" s="43" t="n"/>
      <c r="X966" s="43" t="n"/>
      <c r="Y966" s="43" t="n"/>
      <c r="Z966" s="43" t="n"/>
    </row>
    <row r="967">
      <c r="A967" s="43" t="n"/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  <c r="R967" s="43" t="n"/>
      <c r="S967" s="43" t="n"/>
      <c r="T967" s="43" t="n"/>
      <c r="U967" s="43" t="n"/>
      <c r="V967" s="43" t="n"/>
      <c r="W967" s="43" t="n"/>
      <c r="X967" s="43" t="n"/>
      <c r="Y967" s="43" t="n"/>
      <c r="Z967" s="43" t="n"/>
    </row>
    <row r="968">
      <c r="A968" s="43" t="n"/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  <c r="R968" s="43" t="n"/>
      <c r="S968" s="43" t="n"/>
      <c r="T968" s="43" t="n"/>
      <c r="U968" s="43" t="n"/>
      <c r="V968" s="43" t="n"/>
      <c r="W968" s="43" t="n"/>
      <c r="X968" s="43" t="n"/>
      <c r="Y968" s="43" t="n"/>
      <c r="Z968" s="43" t="n"/>
    </row>
    <row r="969">
      <c r="A969" s="43" t="n"/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  <c r="R969" s="43" t="n"/>
      <c r="S969" s="43" t="n"/>
      <c r="T969" s="43" t="n"/>
      <c r="U969" s="43" t="n"/>
      <c r="V969" s="43" t="n"/>
      <c r="W969" s="43" t="n"/>
      <c r="X969" s="43" t="n"/>
      <c r="Y969" s="43" t="n"/>
      <c r="Z969" s="43" t="n"/>
    </row>
    <row r="970">
      <c r="A970" s="43" t="n"/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  <c r="R970" s="43" t="n"/>
      <c r="S970" s="43" t="n"/>
      <c r="T970" s="43" t="n"/>
      <c r="U970" s="43" t="n"/>
      <c r="V970" s="43" t="n"/>
      <c r="W970" s="43" t="n"/>
      <c r="X970" s="43" t="n"/>
      <c r="Y970" s="43" t="n"/>
      <c r="Z970" s="43" t="n"/>
    </row>
    <row r="971">
      <c r="A971" s="43" t="n"/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  <c r="R971" s="43" t="n"/>
      <c r="S971" s="43" t="n"/>
      <c r="T971" s="43" t="n"/>
      <c r="U971" s="43" t="n"/>
      <c r="V971" s="43" t="n"/>
      <c r="W971" s="43" t="n"/>
      <c r="X971" s="43" t="n"/>
      <c r="Y971" s="43" t="n"/>
      <c r="Z971" s="43" t="n"/>
    </row>
    <row r="972">
      <c r="A972" s="43" t="n"/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  <c r="R972" s="43" t="n"/>
      <c r="S972" s="43" t="n"/>
      <c r="T972" s="43" t="n"/>
      <c r="U972" s="43" t="n"/>
      <c r="V972" s="43" t="n"/>
      <c r="W972" s="43" t="n"/>
      <c r="X972" s="43" t="n"/>
      <c r="Y972" s="43" t="n"/>
      <c r="Z972" s="43" t="n"/>
    </row>
    <row r="973">
      <c r="A973" s="43" t="n"/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  <c r="R973" s="43" t="n"/>
      <c r="S973" s="43" t="n"/>
      <c r="T973" s="43" t="n"/>
      <c r="U973" s="43" t="n"/>
      <c r="V973" s="43" t="n"/>
      <c r="W973" s="43" t="n"/>
      <c r="X973" s="43" t="n"/>
      <c r="Y973" s="43" t="n"/>
      <c r="Z973" s="43" t="n"/>
    </row>
    <row r="974">
      <c r="A974" s="43" t="n"/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  <c r="R974" s="43" t="n"/>
      <c r="S974" s="43" t="n"/>
      <c r="T974" s="43" t="n"/>
      <c r="U974" s="43" t="n"/>
      <c r="V974" s="43" t="n"/>
      <c r="W974" s="43" t="n"/>
      <c r="X974" s="43" t="n"/>
      <c r="Y974" s="43" t="n"/>
      <c r="Z974" s="43" t="n"/>
    </row>
    <row r="975">
      <c r="A975" s="43" t="n"/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  <c r="R975" s="43" t="n"/>
      <c r="S975" s="43" t="n"/>
      <c r="T975" s="43" t="n"/>
      <c r="U975" s="43" t="n"/>
      <c r="V975" s="43" t="n"/>
      <c r="W975" s="43" t="n"/>
      <c r="X975" s="43" t="n"/>
      <c r="Y975" s="43" t="n"/>
      <c r="Z975" s="43" t="n"/>
    </row>
    <row r="976">
      <c r="A976" s="43" t="n"/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  <c r="R976" s="43" t="n"/>
      <c r="S976" s="43" t="n"/>
      <c r="T976" s="43" t="n"/>
      <c r="U976" s="43" t="n"/>
      <c r="V976" s="43" t="n"/>
      <c r="W976" s="43" t="n"/>
      <c r="X976" s="43" t="n"/>
      <c r="Y976" s="43" t="n"/>
      <c r="Z976" s="43" t="n"/>
    </row>
    <row r="977">
      <c r="A977" s="43" t="n"/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  <c r="R977" s="43" t="n"/>
      <c r="S977" s="43" t="n"/>
      <c r="T977" s="43" t="n"/>
      <c r="U977" s="43" t="n"/>
      <c r="V977" s="43" t="n"/>
      <c r="W977" s="43" t="n"/>
      <c r="X977" s="43" t="n"/>
      <c r="Y977" s="43" t="n"/>
      <c r="Z977" s="43" t="n"/>
    </row>
    <row r="978">
      <c r="A978" s="43" t="n"/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  <c r="R978" s="43" t="n"/>
      <c r="S978" s="43" t="n"/>
      <c r="T978" s="43" t="n"/>
      <c r="U978" s="43" t="n"/>
      <c r="V978" s="43" t="n"/>
      <c r="W978" s="43" t="n"/>
      <c r="X978" s="43" t="n"/>
      <c r="Y978" s="43" t="n"/>
      <c r="Z978" s="43" t="n"/>
    </row>
    <row r="979">
      <c r="A979" s="43" t="n"/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  <c r="R979" s="43" t="n"/>
      <c r="S979" s="43" t="n"/>
      <c r="T979" s="43" t="n"/>
      <c r="U979" s="43" t="n"/>
      <c r="V979" s="43" t="n"/>
      <c r="W979" s="43" t="n"/>
      <c r="X979" s="43" t="n"/>
      <c r="Y979" s="43" t="n"/>
      <c r="Z979" s="43" t="n"/>
    </row>
    <row r="980">
      <c r="A980" s="43" t="n"/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  <c r="R980" s="43" t="n"/>
      <c r="S980" s="43" t="n"/>
      <c r="T980" s="43" t="n"/>
      <c r="U980" s="43" t="n"/>
      <c r="V980" s="43" t="n"/>
      <c r="W980" s="43" t="n"/>
      <c r="X980" s="43" t="n"/>
      <c r="Y980" s="43" t="n"/>
      <c r="Z980" s="43" t="n"/>
    </row>
    <row r="981">
      <c r="A981" s="43" t="n"/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  <c r="R981" s="43" t="n"/>
      <c r="S981" s="43" t="n"/>
      <c r="T981" s="43" t="n"/>
      <c r="U981" s="43" t="n"/>
      <c r="V981" s="43" t="n"/>
      <c r="W981" s="43" t="n"/>
      <c r="X981" s="43" t="n"/>
      <c r="Y981" s="43" t="n"/>
      <c r="Z981" s="43" t="n"/>
    </row>
    <row r="982">
      <c r="A982" s="43" t="n"/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  <c r="R982" s="43" t="n"/>
      <c r="S982" s="43" t="n"/>
      <c r="T982" s="43" t="n"/>
      <c r="U982" s="43" t="n"/>
      <c r="V982" s="43" t="n"/>
      <c r="W982" s="43" t="n"/>
      <c r="X982" s="43" t="n"/>
      <c r="Y982" s="43" t="n"/>
      <c r="Z982" s="43" t="n"/>
    </row>
    <row r="983">
      <c r="A983" s="43" t="n"/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  <c r="R983" s="43" t="n"/>
      <c r="S983" s="43" t="n"/>
      <c r="T983" s="43" t="n"/>
      <c r="U983" s="43" t="n"/>
      <c r="V983" s="43" t="n"/>
      <c r="W983" s="43" t="n"/>
      <c r="X983" s="43" t="n"/>
      <c r="Y983" s="43" t="n"/>
      <c r="Z983" s="43" t="n"/>
    </row>
    <row r="984">
      <c r="A984" s="43" t="n"/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  <c r="R984" s="43" t="n"/>
      <c r="S984" s="43" t="n"/>
      <c r="T984" s="43" t="n"/>
      <c r="U984" s="43" t="n"/>
      <c r="V984" s="43" t="n"/>
      <c r="W984" s="43" t="n"/>
      <c r="X984" s="43" t="n"/>
      <c r="Y984" s="43" t="n"/>
      <c r="Z984" s="43" t="n"/>
    </row>
    <row r="985">
      <c r="A985" s="43" t="n"/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  <c r="R985" s="43" t="n"/>
      <c r="S985" s="43" t="n"/>
      <c r="T985" s="43" t="n"/>
      <c r="U985" s="43" t="n"/>
      <c r="V985" s="43" t="n"/>
      <c r="W985" s="43" t="n"/>
      <c r="X985" s="43" t="n"/>
      <c r="Y985" s="43" t="n"/>
      <c r="Z985" s="43" t="n"/>
    </row>
    <row r="986">
      <c r="A986" s="43" t="n"/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  <c r="R986" s="43" t="n"/>
      <c r="S986" s="43" t="n"/>
      <c r="T986" s="43" t="n"/>
      <c r="U986" s="43" t="n"/>
      <c r="V986" s="43" t="n"/>
      <c r="W986" s="43" t="n"/>
      <c r="X986" s="43" t="n"/>
      <c r="Y986" s="43" t="n"/>
      <c r="Z986" s="43" t="n"/>
    </row>
    <row r="987">
      <c r="A987" s="43" t="n"/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  <c r="R987" s="43" t="n"/>
      <c r="S987" s="43" t="n"/>
      <c r="T987" s="43" t="n"/>
      <c r="U987" s="43" t="n"/>
      <c r="V987" s="43" t="n"/>
      <c r="W987" s="43" t="n"/>
      <c r="X987" s="43" t="n"/>
      <c r="Y987" s="43" t="n"/>
      <c r="Z987" s="43" t="n"/>
    </row>
    <row r="988">
      <c r="A988" s="43" t="n"/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  <c r="R988" s="43" t="n"/>
      <c r="S988" s="43" t="n"/>
      <c r="T988" s="43" t="n"/>
      <c r="U988" s="43" t="n"/>
      <c r="V988" s="43" t="n"/>
      <c r="W988" s="43" t="n"/>
      <c r="X988" s="43" t="n"/>
      <c r="Y988" s="43" t="n"/>
      <c r="Z988" s="43" t="n"/>
    </row>
    <row r="989">
      <c r="A989" s="43" t="n"/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  <c r="R989" s="43" t="n"/>
      <c r="S989" s="43" t="n"/>
      <c r="T989" s="43" t="n"/>
      <c r="U989" s="43" t="n"/>
      <c r="V989" s="43" t="n"/>
      <c r="W989" s="43" t="n"/>
      <c r="X989" s="43" t="n"/>
      <c r="Y989" s="43" t="n"/>
      <c r="Z989" s="43" t="n"/>
    </row>
    <row r="990">
      <c r="A990" s="43" t="n"/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  <c r="R990" s="43" t="n"/>
      <c r="S990" s="43" t="n"/>
      <c r="T990" s="43" t="n"/>
      <c r="U990" s="43" t="n"/>
      <c r="V990" s="43" t="n"/>
      <c r="W990" s="43" t="n"/>
      <c r="X990" s="43" t="n"/>
      <c r="Y990" s="43" t="n"/>
      <c r="Z990" s="43" t="n"/>
    </row>
    <row r="991">
      <c r="A991" s="43" t="n"/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  <c r="R991" s="43" t="n"/>
      <c r="S991" s="43" t="n"/>
      <c r="T991" s="43" t="n"/>
      <c r="U991" s="43" t="n"/>
      <c r="V991" s="43" t="n"/>
      <c r="W991" s="43" t="n"/>
      <c r="X991" s="43" t="n"/>
      <c r="Y991" s="43" t="n"/>
      <c r="Z991" s="43" t="n"/>
    </row>
    <row r="992">
      <c r="A992" s="43" t="n"/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  <c r="R992" s="43" t="n"/>
      <c r="S992" s="43" t="n"/>
      <c r="T992" s="43" t="n"/>
      <c r="U992" s="43" t="n"/>
      <c r="V992" s="43" t="n"/>
      <c r="W992" s="43" t="n"/>
      <c r="X992" s="43" t="n"/>
      <c r="Y992" s="43" t="n"/>
      <c r="Z992" s="43" t="n"/>
    </row>
    <row r="993">
      <c r="A993" s="43" t="n"/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  <c r="R993" s="43" t="n"/>
      <c r="S993" s="43" t="n"/>
      <c r="T993" s="43" t="n"/>
      <c r="U993" s="43" t="n"/>
      <c r="V993" s="43" t="n"/>
      <c r="W993" s="43" t="n"/>
      <c r="X993" s="43" t="n"/>
      <c r="Y993" s="43" t="n"/>
      <c r="Z993" s="43" t="n"/>
    </row>
    <row r="994">
      <c r="A994" s="43" t="n"/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  <c r="R994" s="43" t="n"/>
      <c r="S994" s="43" t="n"/>
      <c r="T994" s="43" t="n"/>
      <c r="U994" s="43" t="n"/>
      <c r="V994" s="43" t="n"/>
      <c r="W994" s="43" t="n"/>
      <c r="X994" s="43" t="n"/>
      <c r="Y994" s="43" t="n"/>
      <c r="Z994" s="43" t="n"/>
    </row>
    <row r="995">
      <c r="A995" s="43" t="n"/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  <c r="R995" s="43" t="n"/>
      <c r="S995" s="43" t="n"/>
      <c r="T995" s="43" t="n"/>
      <c r="U995" s="43" t="n"/>
      <c r="V995" s="43" t="n"/>
      <c r="W995" s="43" t="n"/>
      <c r="X995" s="43" t="n"/>
      <c r="Y995" s="43" t="n"/>
      <c r="Z995" s="43" t="n"/>
    </row>
    <row r="996">
      <c r="A996" s="43" t="n"/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  <c r="R996" s="43" t="n"/>
      <c r="S996" s="43" t="n"/>
      <c r="T996" s="43" t="n"/>
      <c r="U996" s="43" t="n"/>
      <c r="V996" s="43" t="n"/>
      <c r="W996" s="43" t="n"/>
      <c r="X996" s="43" t="n"/>
      <c r="Y996" s="43" t="n"/>
      <c r="Z996" s="43" t="n"/>
    </row>
    <row r="997">
      <c r="A997" s="43" t="n"/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  <c r="R997" s="43" t="n"/>
      <c r="S997" s="43" t="n"/>
      <c r="T997" s="43" t="n"/>
      <c r="U997" s="43" t="n"/>
      <c r="V997" s="43" t="n"/>
      <c r="W997" s="43" t="n"/>
      <c r="X997" s="43" t="n"/>
      <c r="Y997" s="43" t="n"/>
      <c r="Z997" s="43" t="n"/>
    </row>
    <row r="998">
      <c r="A998" s="43" t="n"/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  <c r="R998" s="43" t="n"/>
      <c r="S998" s="43" t="n"/>
      <c r="T998" s="43" t="n"/>
      <c r="U998" s="43" t="n"/>
      <c r="V998" s="43" t="n"/>
      <c r="W998" s="43" t="n"/>
      <c r="X998" s="43" t="n"/>
      <c r="Y998" s="43" t="n"/>
      <c r="Z998" s="43" t="n"/>
    </row>
    <row r="999">
      <c r="A999" s="43" t="n"/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  <c r="R999" s="43" t="n"/>
      <c r="S999" s="43" t="n"/>
      <c r="T999" s="43" t="n"/>
      <c r="U999" s="43" t="n"/>
      <c r="V999" s="43" t="n"/>
      <c r="W999" s="43" t="n"/>
      <c r="X999" s="43" t="n"/>
      <c r="Y999" s="43" t="n"/>
      <c r="Z999" s="43" t="n"/>
    </row>
    <row r="1000">
      <c r="A1000" s="43" t="n"/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  <c r="R1000" s="43" t="n"/>
      <c r="S1000" s="43" t="n"/>
      <c r="T1000" s="43" t="n"/>
      <c r="U1000" s="43" t="n"/>
      <c r="V1000" s="43" t="n"/>
      <c r="W1000" s="43" t="n"/>
      <c r="X1000" s="43" t="n"/>
      <c r="Y1000" s="43" t="n"/>
      <c r="Z1000" s="43" t="n"/>
    </row>
    <row r="1001">
      <c r="A1001" s="43" t="n"/>
      <c r="B1001" s="43" t="n"/>
      <c r="C1001" s="43" t="n"/>
      <c r="D1001" s="43" t="n"/>
      <c r="E1001" s="43" t="n"/>
      <c r="F1001" s="43" t="n"/>
      <c r="G1001" s="43" t="n"/>
      <c r="H1001" s="43" t="n"/>
      <c r="I1001" s="43" t="n"/>
      <c r="J1001" s="43" t="n"/>
      <c r="K1001" s="43" t="n"/>
      <c r="L1001" s="43" t="n"/>
      <c r="M1001" s="43" t="n"/>
      <c r="N1001" s="43" t="n"/>
      <c r="O1001" s="43" t="n"/>
      <c r="P1001" s="43" t="n"/>
      <c r="Q1001" s="43" t="n"/>
      <c r="R1001" s="43" t="n"/>
      <c r="S1001" s="43" t="n"/>
      <c r="T1001" s="43" t="n"/>
      <c r="U1001" s="43" t="n"/>
      <c r="V1001" s="43" t="n"/>
      <c r="W1001" s="43" t="n"/>
      <c r="X1001" s="43" t="n"/>
      <c r="Y1001" s="43" t="n"/>
      <c r="Z1001" s="43" t="n"/>
    </row>
    <row r="1002">
      <c r="A1002" s="43" t="n"/>
      <c r="B1002" s="43" t="n"/>
      <c r="C1002" s="43" t="n"/>
      <c r="D1002" s="43" t="n"/>
      <c r="E1002" s="43" t="n"/>
      <c r="F1002" s="43" t="n"/>
      <c r="G1002" s="43" t="n"/>
      <c r="H1002" s="43" t="n"/>
      <c r="I1002" s="43" t="n"/>
      <c r="J1002" s="43" t="n"/>
      <c r="K1002" s="43" t="n"/>
      <c r="L1002" s="43" t="n"/>
      <c r="M1002" s="43" t="n"/>
      <c r="N1002" s="43" t="n"/>
      <c r="O1002" s="43" t="n"/>
      <c r="P1002" s="43" t="n"/>
      <c r="Q1002" s="43" t="n"/>
      <c r="R1002" s="43" t="n"/>
      <c r="S1002" s="43" t="n"/>
      <c r="T1002" s="43" t="n"/>
      <c r="U1002" s="43" t="n"/>
      <c r="V1002" s="43" t="n"/>
      <c r="W1002" s="43" t="n"/>
      <c r="X1002" s="43" t="n"/>
      <c r="Y1002" s="43" t="n"/>
      <c r="Z1002" s="43" t="n"/>
    </row>
    <row r="1003">
      <c r="A1003" s="43" t="n"/>
      <c r="B1003" s="43" t="n"/>
      <c r="C1003" s="43" t="n"/>
      <c r="D1003" s="43" t="n"/>
      <c r="E1003" s="43" t="n"/>
      <c r="F1003" s="43" t="n"/>
      <c r="G1003" s="43" t="n"/>
      <c r="H1003" s="43" t="n"/>
      <c r="I1003" s="43" t="n"/>
      <c r="J1003" s="43" t="n"/>
      <c r="K1003" s="43" t="n"/>
      <c r="L1003" s="43" t="n"/>
      <c r="M1003" s="43" t="n"/>
      <c r="N1003" s="43" t="n"/>
      <c r="O1003" s="43" t="n"/>
      <c r="P1003" s="43" t="n"/>
      <c r="Q1003" s="43" t="n"/>
      <c r="R1003" s="43" t="n"/>
      <c r="S1003" s="43" t="n"/>
      <c r="T1003" s="43" t="n"/>
      <c r="U1003" s="43" t="n"/>
      <c r="V1003" s="43" t="n"/>
      <c r="W1003" s="43" t="n"/>
      <c r="X1003" s="43" t="n"/>
      <c r="Y1003" s="43" t="n"/>
      <c r="Z1003" s="43" t="n"/>
    </row>
    <row r="1004">
      <c r="A1004" s="43" t="n"/>
      <c r="B1004" s="43" t="n"/>
      <c r="C1004" s="43" t="n"/>
      <c r="D1004" s="43" t="n"/>
      <c r="E1004" s="43" t="n"/>
      <c r="F1004" s="43" t="n"/>
      <c r="G1004" s="43" t="n"/>
      <c r="H1004" s="43" t="n"/>
      <c r="I1004" s="43" t="n"/>
      <c r="J1004" s="43" t="n"/>
      <c r="K1004" s="43" t="n"/>
      <c r="L1004" s="43" t="n"/>
      <c r="M1004" s="43" t="n"/>
      <c r="N1004" s="43" t="n"/>
      <c r="O1004" s="43" t="n"/>
      <c r="P1004" s="43" t="n"/>
      <c r="Q1004" s="43" t="n"/>
      <c r="R1004" s="43" t="n"/>
      <c r="S1004" s="43" t="n"/>
      <c r="T1004" s="43" t="n"/>
      <c r="U1004" s="43" t="n"/>
      <c r="V1004" s="43" t="n"/>
      <c r="W1004" s="43" t="n"/>
      <c r="X1004" s="43" t="n"/>
      <c r="Y1004" s="43" t="n"/>
      <c r="Z1004" s="43" t="n"/>
    </row>
    <row r="1005">
      <c r="A1005" s="43" t="n"/>
      <c r="B1005" s="43" t="n"/>
      <c r="C1005" s="43" t="n"/>
      <c r="D1005" s="43" t="n"/>
      <c r="E1005" s="43" t="n"/>
      <c r="F1005" s="43" t="n"/>
      <c r="G1005" s="43" t="n"/>
      <c r="H1005" s="43" t="n"/>
      <c r="I1005" s="43" t="n"/>
      <c r="J1005" s="43" t="n"/>
      <c r="K1005" s="43" t="n"/>
      <c r="L1005" s="43" t="n"/>
      <c r="M1005" s="43" t="n"/>
      <c r="N1005" s="43" t="n"/>
      <c r="O1005" s="43" t="n"/>
      <c r="P1005" s="43" t="n"/>
      <c r="Q1005" s="43" t="n"/>
      <c r="R1005" s="43" t="n"/>
      <c r="S1005" s="43" t="n"/>
      <c r="T1005" s="43" t="n"/>
      <c r="U1005" s="43" t="n"/>
      <c r="V1005" s="43" t="n"/>
      <c r="W1005" s="43" t="n"/>
      <c r="X1005" s="43" t="n"/>
      <c r="Y1005" s="43" t="n"/>
      <c r="Z1005" s="43" t="n"/>
    </row>
  </sheetData>
  <mergeCells count="3">
    <mergeCell ref="A3:H3"/>
    <mergeCell ref="A14:H14"/>
    <mergeCell ref="A1:H1"/>
  </mergeCells>
  <dataValidations count="2">
    <dataValidation sqref="F18 H7:H9" showDropDown="0" showInputMessage="0" showErrorMessage="1" allowBlank="1" type="list">
      <formula1>"Y,N"</formula1>
    </dataValidation>
    <dataValidation sqref="B9" showDropDown="0" showInputMessage="0" showErrorMessage="1" allowBlank="1" type="list">
      <formula1>"M,F"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" customHeight="1"/>
  <cols>
    <col width="24.5" customWidth="1" style="62" min="1" max="1"/>
    <col width="15.5" customWidth="1" style="62" min="2" max="8"/>
  </cols>
  <sheetData>
    <row r="1" ht="30" customHeight="1" s="62">
      <c r="A1" s="64" t="inlineStr">
        <is>
          <t>SECTION 3 — Weight Tracking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</row>
    <row r="4">
      <c r="A4" s="6" t="inlineStr">
        <is>
          <t>Experimental Day</t>
        </is>
      </c>
      <c r="B4" s="6" t="inlineStr">
        <is>
          <t>Day 0</t>
        </is>
      </c>
      <c r="C4" s="6" t="inlineStr">
        <is>
          <t>Day 1</t>
        </is>
      </c>
      <c r="D4" s="6" t="inlineStr">
        <is>
          <t>Day 2</t>
        </is>
      </c>
      <c r="E4" s="6" t="inlineStr">
        <is>
          <t>Day 3</t>
        </is>
      </c>
      <c r="F4" s="6" t="inlineStr">
        <is>
          <t>Day 4</t>
        </is>
      </c>
      <c r="G4" s="6" t="inlineStr">
        <is>
          <t>Day 5</t>
        </is>
      </c>
      <c r="H4" s="6" t="inlineStr">
        <is>
          <t>Day 6</t>
        </is>
      </c>
    </row>
    <row r="5">
      <c r="A5" s="9" t="inlineStr">
        <is>
          <t>Stage</t>
        </is>
      </c>
      <c r="B5" s="11" t="inlineStr">
        <is>
          <t>Initial Weighing</t>
        </is>
      </c>
      <c r="C5" s="12" t="inlineStr">
        <is>
          <t>Food Restriction + Handling</t>
        </is>
      </c>
      <c r="D5" s="12" t="inlineStr">
        <is>
          <t>Food Restriction + Handling</t>
        </is>
      </c>
      <c r="E5" s="12" t="inlineStr">
        <is>
          <t>Food Restriction + Acclimation</t>
        </is>
      </c>
      <c r="F5" s="12" t="inlineStr">
        <is>
          <t>Food Restriction + Shaping</t>
        </is>
      </c>
      <c r="G5" s="12" t="inlineStr">
        <is>
          <t>Testing</t>
        </is>
      </c>
      <c r="H5" s="12" t="inlineStr">
        <is>
          <t>Testing</t>
        </is>
      </c>
    </row>
    <row r="6">
      <c r="A6" s="6" t="inlineStr">
        <is>
          <t>Date</t>
        </is>
      </c>
      <c r="B6" s="16" t="inlineStr">
        <is>
          <t>N/A</t>
        </is>
      </c>
      <c r="C6" s="13" t="n">
        <v>46209</v>
      </c>
      <c r="D6" s="13" t="n">
        <v>46210</v>
      </c>
      <c r="E6" s="13" t="n">
        <v>46211</v>
      </c>
      <c r="F6" s="18" t="n">
        <v>46212</v>
      </c>
      <c r="G6" s="13" t="n">
        <v>46213</v>
      </c>
      <c r="H6" s="13" t="n">
        <v>46214</v>
      </c>
    </row>
    <row r="7">
      <c r="A7" s="6" t="inlineStr">
        <is>
          <t>Time</t>
        </is>
      </c>
      <c r="B7" s="19" t="inlineStr">
        <is>
          <t>N/A</t>
        </is>
      </c>
      <c r="C7" s="8" t="n">
        <v>0.5569444444444445</v>
      </c>
      <c r="D7" s="8" t="n">
        <v>0.5520833333333334</v>
      </c>
      <c r="E7" s="8" t="n">
        <v>0.5694444444444444</v>
      </c>
      <c r="F7" s="22" t="n">
        <v>0.5722222222222222</v>
      </c>
      <c r="G7" s="8" t="n">
        <v>0.5555555555555556</v>
      </c>
      <c r="H7" s="8" t="n">
        <v>0.5659722222222222</v>
      </c>
    </row>
    <row r="8">
      <c r="A8" s="6" t="inlineStr">
        <is>
          <t>Zeitgeber time (ZT)</t>
        </is>
      </c>
      <c r="B8" s="30">
        <f>IF(B7="","","ZT " &amp; TEXT(MOD(B7-METADATA!$B$19,1),"hh:mm"))</f>
        <v/>
      </c>
      <c r="C8" s="30">
        <f>IF(C7="","","ZT " &amp; TEXT(MOD(C7-METADATA!$B$19,1),"hh:mm"))</f>
        <v/>
      </c>
      <c r="D8" s="30">
        <f>IF(D7="","","ZT " &amp; TEXT(MOD(D7-METADATA!$B$19,1),"hh:mm"))</f>
        <v/>
      </c>
      <c r="E8" s="30">
        <f>IF(E7="","","ZT " &amp; TEXT(MOD(E7-METADATA!$B$19,1),"hh:mm"))</f>
        <v/>
      </c>
      <c r="F8" s="30">
        <f>IF(F7="","","ZT " &amp; TEXT(MOD(F7-METADATA!$B$19,1),"hh:mm"))</f>
        <v/>
      </c>
      <c r="G8" s="30">
        <f>IF(G7="","","ZT " &amp; TEXT(MOD(G7-METADATA!$B$19,1),"hh:mm"))</f>
        <v/>
      </c>
      <c r="H8" s="30">
        <f>IF(H7="","","ZT " &amp; TEXT(MOD(H7-METADATA!$B$19,1),"hh:mm"))</f>
        <v/>
      </c>
    </row>
    <row r="9">
      <c r="A9" s="6" t="inlineStr">
        <is>
          <t>Age</t>
        </is>
      </c>
      <c r="B9" s="33">
        <f>B6-METADATA!$F$5</f>
        <v/>
      </c>
      <c r="C9" s="33">
        <f>C6-METADATA!$F$5</f>
        <v/>
      </c>
      <c r="D9" s="33">
        <f>D6-METADATA!$F$5</f>
        <v/>
      </c>
      <c r="E9" s="33">
        <f>E6-METADATA!$F$5</f>
        <v/>
      </c>
      <c r="F9" s="33">
        <f>F6-METADATA!$F$5</f>
        <v/>
      </c>
      <c r="G9" s="33">
        <f>G6-METADATA!$F$5</f>
        <v/>
      </c>
      <c r="H9" s="33">
        <f>H6-METADATA!$F$5</f>
        <v/>
      </c>
    </row>
    <row r="10">
      <c r="A10" s="6" t="inlineStr">
        <is>
          <t>Weight (g)</t>
        </is>
      </c>
      <c r="B10" s="34" t="n">
        <v>34.1</v>
      </c>
      <c r="C10" s="35" t="n">
        <v>34.1</v>
      </c>
      <c r="D10" s="35" t="n">
        <v>32.3</v>
      </c>
      <c r="E10" s="35" t="n">
        <v>30.8</v>
      </c>
      <c r="F10" s="35" t="n">
        <v>29.8</v>
      </c>
      <c r="G10" s="35" t="n">
        <v>28.1</v>
      </c>
      <c r="H10" s="35" t="n">
        <v>28.3</v>
      </c>
    </row>
    <row r="11">
      <c r="A11" s="6" t="inlineStr">
        <is>
          <t>% from baseline</t>
        </is>
      </c>
      <c r="B11" s="36">
        <f>IFERROR(B10/$B$10,"-")</f>
        <v/>
      </c>
      <c r="C11" s="36">
        <f>IFERROR(C10/$B$10,"-")</f>
        <v/>
      </c>
      <c r="D11" s="36">
        <f>IFERROR(D10/$B$10,"-")</f>
        <v/>
      </c>
      <c r="E11" s="36">
        <f>IFERROR(E10/$B$10,"-")</f>
        <v/>
      </c>
      <c r="F11" s="36">
        <f>IFERROR(F10/$B$10,"-")</f>
        <v/>
      </c>
      <c r="G11" s="36">
        <f>IFERROR(G10/$B$10,"-")</f>
        <v/>
      </c>
      <c r="H11" s="36">
        <f>IFERROR(H10/$B$10,"-")</f>
        <v/>
      </c>
    </row>
  </sheetData>
  <mergeCells count="1">
    <mergeCell ref="A1:H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2"/>
  <sheetViews>
    <sheetView workbookViewId="0">
      <selection activeCell="A1" sqref="A1"/>
    </sheetView>
  </sheetViews>
  <sheetFormatPr baseColWidth="8" defaultColWidth="12.63" defaultRowHeight="15" customHeight="1"/>
  <cols>
    <col width="18.88" customWidth="1" style="62" min="1" max="8"/>
  </cols>
  <sheetData>
    <row r="1" ht="30" customHeight="1" s="62">
      <c r="A1" s="64" t="inlineStr">
        <is>
          <t>SECTION 4 — Day 3: Acclimation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</row>
    <row r="3">
      <c r="A3" s="6" t="inlineStr">
        <is>
          <t>Experimenter:</t>
        </is>
      </c>
      <c r="B3" s="51" t="inlineStr">
        <is>
          <t>Winnie Chao</t>
        </is>
      </c>
      <c r="C3" s="6" t="inlineStr">
        <is>
          <t>Start time:</t>
        </is>
      </c>
      <c r="D3" s="8" t="n">
        <v>0.61875</v>
      </c>
      <c r="E3" s="6" t="inlineStr">
        <is>
          <t>Start time (ZT):</t>
        </is>
      </c>
      <c r="F3" s="10">
        <f>IF(D3="","","ZT " &amp; TEXT(MOD(D3-METADATA!$B$19,1),"hh:mm"))</f>
        <v/>
      </c>
      <c r="G3" s="5" t="n"/>
      <c r="H3" s="5" t="n"/>
    </row>
    <row r="4">
      <c r="A4" s="6" t="inlineStr">
        <is>
          <t>Date:</t>
        </is>
      </c>
      <c r="B4" s="13" t="n">
        <v>46211</v>
      </c>
      <c r="C4" s="6" t="inlineStr">
        <is>
          <t>End time:</t>
        </is>
      </c>
      <c r="D4" s="8" t="n">
        <v>0.6430555555555556</v>
      </c>
      <c r="E4" s="6" t="inlineStr">
        <is>
          <t>End time (ZT):</t>
        </is>
      </c>
      <c r="F4" s="10">
        <f>IF(D4="","","ZT " &amp; TEXT(MOD(D4-METADATA!$B$19,1),"hh:mm"))</f>
        <v/>
      </c>
      <c r="G4" s="5" t="n"/>
      <c r="H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20" t="inlineStr">
        <is>
          <t>Round</t>
        </is>
      </c>
      <c r="B9" s="21" t="inlineStr">
        <is>
          <t>Time to eat NW (1)</t>
        </is>
      </c>
      <c r="C9" s="21" t="inlineStr">
        <is>
          <t>Time to eat NE (2)</t>
        </is>
      </c>
      <c r="D9" s="21" t="inlineStr">
        <is>
          <t>Time to eat SW (3)</t>
        </is>
      </c>
      <c r="E9" s="21" t="inlineStr">
        <is>
          <t>Time to eat SE (4)</t>
        </is>
      </c>
      <c r="F9" s="24" t="inlineStr">
        <is>
          <t>Number of Pellets Eaten</t>
        </is>
      </c>
      <c r="G9" s="20" t="inlineStr">
        <is>
          <t>Notes</t>
        </is>
      </c>
      <c r="H9" s="5" t="n"/>
    </row>
    <row r="10">
      <c r="A10" s="25" t="inlineStr">
        <is>
          <t>Round 1</t>
        </is>
      </c>
      <c r="B10" s="27" t="n"/>
      <c r="C10" s="27" t="n"/>
      <c r="D10" s="27" t="n"/>
      <c r="E10" s="27" t="n"/>
      <c r="F10" s="28" t="inlineStr">
        <is>
          <t>4/4</t>
        </is>
      </c>
      <c r="G10" s="29" t="n"/>
    </row>
    <row r="11">
      <c r="A11" s="25" t="inlineStr">
        <is>
          <t>Round 2</t>
        </is>
      </c>
      <c r="B11" s="27" t="n"/>
      <c r="C11" s="27" t="n"/>
      <c r="D11" s="27" t="n"/>
      <c r="E11" s="27" t="n"/>
      <c r="F11" s="28" t="inlineStr">
        <is>
          <t>4/4</t>
        </is>
      </c>
      <c r="G11" s="29" t="n"/>
    </row>
    <row r="12">
      <c r="A12" s="25" t="inlineStr">
        <is>
          <t>Round 3</t>
        </is>
      </c>
      <c r="B12" s="27" t="n"/>
      <c r="C12" s="27" t="n"/>
      <c r="D12" s="27" t="n"/>
      <c r="E12" s="27" t="n"/>
      <c r="F12" s="28" t="inlineStr">
        <is>
          <t>4/4</t>
        </is>
      </c>
      <c r="G12" s="29" t="n"/>
    </row>
  </sheetData>
  <mergeCells count="1">
    <mergeCell ref="A1:H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18.88" customWidth="1" style="62" min="1" max="1"/>
    <col width="25.13" customWidth="1" style="62" min="2" max="2"/>
    <col width="18.88" customWidth="1" style="62" min="3" max="8"/>
  </cols>
  <sheetData>
    <row r="1" ht="30" customHeight="1" s="62">
      <c r="A1" s="64" t="inlineStr">
        <is>
          <t>SECTION 5 — Day 4: Shaping</t>
        </is>
      </c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4.25" customHeight="1" s="6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4.25" customHeight="1" s="62">
      <c r="A3" s="6" t="inlineStr">
        <is>
          <t>Experimenter:</t>
        </is>
      </c>
      <c r="B3" s="51" t="inlineStr">
        <is>
          <t>Winnie Chao</t>
        </is>
      </c>
      <c r="C3" s="6" t="inlineStr">
        <is>
          <t>Start time:</t>
        </is>
      </c>
      <c r="D3" s="14" t="n">
        <v>0.6083333333333333</v>
      </c>
      <c r="E3" s="6" t="inlineStr">
        <is>
          <t>Start time (ZT):</t>
        </is>
      </c>
      <c r="F3" s="10">
        <f>IF(D3="","","ZT " &amp; TEXT(MOD(D3-METADATA!$B$19,1),"hh:mm"))</f>
        <v/>
      </c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4.25" customHeight="1" s="62">
      <c r="A4" s="6" t="inlineStr">
        <is>
          <t>Date:</t>
        </is>
      </c>
      <c r="B4" s="42" t="n">
        <v>46212</v>
      </c>
      <c r="C4" s="6" t="inlineStr">
        <is>
          <t>End time:</t>
        </is>
      </c>
      <c r="D4" s="14" t="n">
        <v>0.61875</v>
      </c>
      <c r="E4" s="6" t="inlineStr">
        <is>
          <t>End time (ZT):</t>
        </is>
      </c>
      <c r="F4" s="10">
        <f>IF(D4="","","ZT " &amp; TEXT(MOD(D4-METADATA!$B$19,1),"hh:mm"))</f>
        <v/>
      </c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4.25" customHeight="1" s="62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9.5" customHeight="1" s="62">
      <c r="A6" s="20" t="inlineStr">
        <is>
          <t>Trial</t>
        </is>
      </c>
      <c r="B6" s="20" t="inlineStr">
        <is>
          <t>Bedding Level</t>
        </is>
      </c>
      <c r="C6" s="20" t="inlineStr">
        <is>
          <t>Bowl Position</t>
        </is>
      </c>
      <c r="D6" s="31" t="inlineStr">
        <is>
          <t xml:space="preserve">Time to dig </t>
        </is>
      </c>
      <c r="E6" s="31" t="inlineStr">
        <is>
          <t>Time to eat</t>
        </is>
      </c>
      <c r="F6" s="20" t="inlineStr">
        <is>
          <t>Notes</t>
        </is>
      </c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4.25" customHeight="1" s="62">
      <c r="A7" s="25" t="n">
        <v>1</v>
      </c>
      <c r="B7" s="25" t="inlineStr">
        <is>
          <t>Empty Bowl</t>
        </is>
      </c>
      <c r="C7" s="25" t="inlineStr">
        <is>
          <t>SE</t>
        </is>
      </c>
      <c r="D7" s="53" t="inlineStr">
        <is>
          <t>N/A</t>
        </is>
      </c>
      <c r="E7" s="53" t="n">
        <v>10</v>
      </c>
      <c r="F7" s="29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4.25" customHeight="1" s="62">
      <c r="A8" s="25" t="n">
        <v>2</v>
      </c>
      <c r="B8" s="25" t="inlineStr">
        <is>
          <t>Empty → Dusting</t>
        </is>
      </c>
      <c r="C8" s="25" t="inlineStr">
        <is>
          <t>NW</t>
        </is>
      </c>
      <c r="D8" s="53" t="inlineStr">
        <is>
          <t>N/A</t>
        </is>
      </c>
      <c r="E8" s="53" t="n">
        <v>7</v>
      </c>
      <c r="F8" s="29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14.25" customHeight="1" s="62">
      <c r="A9" s="25" t="n">
        <v>3</v>
      </c>
      <c r="B9" s="25" t="inlineStr">
        <is>
          <t>Dusting (cover bottom)</t>
        </is>
      </c>
      <c r="C9" s="25" t="inlineStr">
        <is>
          <t>SW</t>
        </is>
      </c>
      <c r="D9" s="53" t="inlineStr">
        <is>
          <t>N/A</t>
        </is>
      </c>
      <c r="E9" s="53" t="n">
        <v>22</v>
      </c>
      <c r="F9" s="29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4.25" customHeight="1" s="62">
      <c r="A10" s="25" t="n">
        <v>4</v>
      </c>
      <c r="B10" s="25" t="inlineStr">
        <is>
          <t>Dusting (cover pellet)</t>
        </is>
      </c>
      <c r="C10" s="25" t="inlineStr">
        <is>
          <t>NE</t>
        </is>
      </c>
      <c r="D10" s="53" t="inlineStr">
        <is>
          <t>N/A</t>
        </is>
      </c>
      <c r="E10" s="53" t="n">
        <v>10</v>
      </c>
      <c r="F10" s="29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4.25" customHeight="1" s="62">
      <c r="A11" s="25" t="n">
        <v>5</v>
      </c>
      <c r="B11" s="25" t="inlineStr">
        <is>
          <t>Dusting → 1/4 full</t>
        </is>
      </c>
      <c r="C11" s="25" t="inlineStr">
        <is>
          <t>SE</t>
        </is>
      </c>
      <c r="D11" s="53" t="inlineStr">
        <is>
          <t>N/A</t>
        </is>
      </c>
      <c r="E11" s="53" t="n">
        <v>4</v>
      </c>
      <c r="F11" s="29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4.25" customHeight="1" s="62">
      <c r="A12" s="25" t="n">
        <v>6</v>
      </c>
      <c r="B12" s="25" t="inlineStr">
        <is>
          <t>At least 1/4 full</t>
        </is>
      </c>
      <c r="C12" s="25" t="inlineStr">
        <is>
          <t>NW</t>
        </is>
      </c>
      <c r="D12" s="53" t="inlineStr">
        <is>
          <t>N/A</t>
        </is>
      </c>
      <c r="E12" s="53" t="n">
        <v>38</v>
      </c>
      <c r="F12" s="29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4.25" customHeight="1" s="62">
      <c r="A13" s="25" t="n">
        <v>7</v>
      </c>
      <c r="B13" s="39" t="inlineStr">
        <is>
          <t>1/2 full</t>
        </is>
      </c>
      <c r="C13" s="25" t="inlineStr">
        <is>
          <t>SW</t>
        </is>
      </c>
      <c r="D13" s="53" t="n">
        <v>27</v>
      </c>
      <c r="E13" s="53" t="n">
        <v>31</v>
      </c>
      <c r="F13" s="29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4.25" customHeight="1" s="62">
      <c r="A14" s="25" t="n">
        <v>8</v>
      </c>
      <c r="B14" s="39" t="inlineStr">
        <is>
          <t>3/4 full</t>
        </is>
      </c>
      <c r="C14" s="25" t="inlineStr">
        <is>
          <t>NE</t>
        </is>
      </c>
      <c r="D14" s="53" t="n">
        <v>55</v>
      </c>
      <c r="E14" s="53" t="n">
        <v>56</v>
      </c>
      <c r="F14" s="29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4.25" customHeight="1" s="62">
      <c r="A15" s="25" t="n">
        <v>9</v>
      </c>
      <c r="B15" s="25" t="inlineStr">
        <is>
          <t>Full</t>
        </is>
      </c>
      <c r="C15" s="25" t="inlineStr">
        <is>
          <t>SE</t>
        </is>
      </c>
      <c r="D15" s="53" t="n">
        <v>18</v>
      </c>
      <c r="E15" s="53" t="n">
        <v>24</v>
      </c>
      <c r="F15" s="29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5" t="n">
        <v>10</v>
      </c>
      <c r="B16" s="25" t="inlineStr">
        <is>
          <t>Full</t>
        </is>
      </c>
      <c r="C16" s="25" t="inlineStr">
        <is>
          <t>NW</t>
        </is>
      </c>
      <c r="D16" s="53" t="n">
        <v>16</v>
      </c>
      <c r="E16" s="53" t="n">
        <v>19</v>
      </c>
      <c r="F16" s="29" t="n"/>
    </row>
    <row r="17">
      <c r="A17" s="25" t="n">
        <v>11</v>
      </c>
      <c r="B17" s="25" t="inlineStr">
        <is>
          <t>Full</t>
        </is>
      </c>
      <c r="C17" s="25" t="inlineStr">
        <is>
          <t>SW</t>
        </is>
      </c>
      <c r="D17" s="53" t="n">
        <v>38</v>
      </c>
      <c r="E17" s="53" t="n">
        <v>42</v>
      </c>
      <c r="F17" s="29" t="n"/>
    </row>
    <row r="18">
      <c r="A18" s="25" t="n">
        <v>12</v>
      </c>
      <c r="B18" s="25" t="inlineStr">
        <is>
          <t>Full</t>
        </is>
      </c>
      <c r="C18" s="25" t="inlineStr">
        <is>
          <t>NE</t>
        </is>
      </c>
      <c r="D18" s="53" t="n">
        <v>17</v>
      </c>
      <c r="E18" s="53" t="n">
        <v>22</v>
      </c>
      <c r="F18" s="29" t="n"/>
    </row>
  </sheetData>
  <mergeCells count="1">
    <mergeCell ref="A1:H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18.88" customWidth="1" style="62" min="1" max="6"/>
    <col width="25.25" customWidth="1" style="62" min="7" max="8"/>
    <col width="18.88" customWidth="1" style="62" min="9" max="9"/>
  </cols>
  <sheetData>
    <row r="1" ht="30" customHeight="1" s="62">
      <c r="A1" s="65" t="inlineStr">
        <is>
          <t>SECTION 6 — Day 5: Testing (Discrimination)</t>
        </is>
      </c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</row>
    <row r="2" ht="14.25" customHeight="1" s="6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</row>
    <row r="3" ht="14.25" customHeight="1" s="62">
      <c r="A3" s="6" t="inlineStr">
        <is>
          <t>Experimenter:</t>
        </is>
      </c>
      <c r="B3" s="29" t="inlineStr">
        <is>
          <t>Winniw Chao</t>
        </is>
      </c>
      <c r="C3" s="6" t="inlineStr">
        <is>
          <t>Start time:</t>
        </is>
      </c>
      <c r="D3" s="41" t="n">
        <v>0.6402777777777777</v>
      </c>
      <c r="E3" s="6" t="inlineStr">
        <is>
          <t>Start time (ZT):</t>
        </is>
      </c>
      <c r="F3" s="10">
        <f>IF(D3="","","ZT " &amp; TEXT(MOD(D3-METADATA!$B$19,1),"hh:mm"))</f>
        <v/>
      </c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</row>
    <row r="4" ht="14.25" customHeight="1" s="62">
      <c r="A4" s="6" t="inlineStr">
        <is>
          <t>Date:</t>
        </is>
      </c>
      <c r="B4" s="42" t="n">
        <v>46213</v>
      </c>
      <c r="C4" s="6" t="inlineStr">
        <is>
          <t>End time:</t>
        </is>
      </c>
      <c r="D4" s="41" t="n">
        <v>0.6833333333333333</v>
      </c>
      <c r="E4" s="6" t="inlineStr">
        <is>
          <t>End time (ZT):</t>
        </is>
      </c>
      <c r="F4" s="10">
        <f>IF(D4="","","ZT " &amp; TEXT(MOD(D4-METADATA!$B$19,1),"hh:mm"))</f>
        <v/>
      </c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 ht="14.25" customHeight="1" s="62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 ht="14.25" customHeight="1" s="62">
      <c r="A6" s="45" t="inlineStr">
        <is>
          <t>Trial Type:</t>
        </is>
      </c>
      <c r="B6" s="46" t="inlineStr">
        <is>
          <t>Discrimination</t>
        </is>
      </c>
      <c r="C6" s="5" t="n"/>
      <c r="D6" s="45" t="inlineStr">
        <is>
          <t>Rewarded:</t>
        </is>
      </c>
      <c r="E6" s="46" t="inlineStr">
        <is>
          <t>Anise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</row>
    <row r="7" ht="14.25" customHeight="1" s="62">
      <c r="A7" s="45" t="inlineStr">
        <is>
          <t>Odors:</t>
        </is>
      </c>
      <c r="B7" s="46" t="inlineStr">
        <is>
          <t>A: Anise</t>
        </is>
      </c>
      <c r="C7" s="46" t="inlineStr">
        <is>
          <t>B: Cinnamon</t>
        </is>
      </c>
      <c r="D7" s="46" t="inlineStr">
        <is>
          <t>C: Lemon</t>
        </is>
      </c>
      <c r="E7" s="46" t="inlineStr">
        <is>
          <t>D: Vanilla</t>
        </is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</row>
    <row r="8" ht="14.25" customHeight="1" s="62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</row>
    <row r="9" ht="29.25" customHeight="1" s="62">
      <c r="A9" s="20" t="inlineStr">
        <is>
          <t>Trial</t>
        </is>
      </c>
      <c r="B9" s="21" t="inlineStr">
        <is>
          <t>Bowl Order
(NW, NE, SW, SE)</t>
        </is>
      </c>
      <c r="C9" s="21" t="inlineStr">
        <is>
          <t>Quadrant Chosen</t>
        </is>
      </c>
      <c r="D9" s="20" t="inlineStr">
        <is>
          <t>Odor Chosen</t>
        </is>
      </c>
      <c r="E9" s="20" t="inlineStr">
        <is>
          <t>Correct?</t>
        </is>
      </c>
      <c r="F9" s="20" t="inlineStr">
        <is>
          <t>Latency (s)</t>
        </is>
      </c>
      <c r="G9" s="20" t="inlineStr">
        <is>
          <t>Entry Sequence</t>
        </is>
      </c>
      <c r="H9" s="20" t="inlineStr">
        <is>
          <t>Odor Sequences</t>
        </is>
      </c>
      <c r="I9" s="20" t="inlineStr">
        <is>
          <t>Notes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</row>
    <row r="10" ht="14.25" customHeight="1" s="62">
      <c r="A10" s="29" t="n">
        <v>1</v>
      </c>
      <c r="B10" s="29" t="inlineStr">
        <is>
          <t>ABCD</t>
        </is>
      </c>
      <c r="C10" s="47">
        <f t="array" ref="C10">IFS(D10="","", D10="A","NW", D10="B","NE", D10="C","SW", D10="D","SE",D10="Omit", "")</f>
        <v/>
      </c>
      <c r="D10" s="29" t="inlineStr">
        <is>
          <t>A</t>
        </is>
      </c>
      <c r="E10" s="30">
        <f>IF(D10="","",IF(D10="A","Correct","Incorrect"))</f>
        <v/>
      </c>
      <c r="F10" s="11" t="n">
        <v>47</v>
      </c>
      <c r="G10" s="48" t="inlineStr">
        <is>
          <t>4242124321321</t>
        </is>
      </c>
      <c r="H10" s="30">
        <f t="array" ref="H10">IF($G10="","",TEXTJOIN("",TRUE,MID($B10,MID($G10,SEQUENCE(LEN($G10),1),1)+0,1)))</f>
        <v/>
      </c>
      <c r="I10" s="48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</row>
    <row r="11" ht="14.25" customHeight="1" s="62">
      <c r="A11" s="29" t="n">
        <v>2</v>
      </c>
      <c r="B11" s="29" t="inlineStr">
        <is>
          <t>BCDA</t>
        </is>
      </c>
      <c r="C11" s="47">
        <f t="array" ref="C11">IFS(D11="","", D11="A","SE", D11="B","NW", D11="C","NE", D11="D","SW",D11="Omit", "")</f>
        <v/>
      </c>
      <c r="D11" s="29" t="inlineStr">
        <is>
          <t>B</t>
        </is>
      </c>
      <c r="E11" s="30">
        <f>IF(D11="","",IF(D11="A","Correct","Incorrect"))</f>
        <v/>
      </c>
      <c r="F11" s="11" t="n">
        <v>18</v>
      </c>
      <c r="G11" s="48" t="inlineStr">
        <is>
          <t>321</t>
        </is>
      </c>
      <c r="H11" s="30">
        <f t="array" ref="H11">IF($G11="","",TEXTJOIN("",TRUE,MID($B11,MID($G11,SEQUENCE(LEN($G11),1),1)+0,1)))</f>
        <v/>
      </c>
      <c r="I11" s="29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</row>
    <row r="12" ht="14.25" customHeight="1" s="62">
      <c r="A12" s="29" t="n">
        <v>3</v>
      </c>
      <c r="B12" s="29" t="inlineStr">
        <is>
          <t>CDAB</t>
        </is>
      </c>
      <c r="C12" s="47">
        <f t="array" ref="C12">IFS(D12="","", D12="A","SW", D12="B","SE", D12="C","NW", D12="D","NE",D12="Omit", "")</f>
        <v/>
      </c>
      <c r="D12" s="29" t="inlineStr">
        <is>
          <t>A</t>
        </is>
      </c>
      <c r="E12" s="30">
        <f>IF(D12="","",IF(D12="A","Correct","Incorrect"))</f>
        <v/>
      </c>
      <c r="F12" s="11" t="n">
        <v>20</v>
      </c>
      <c r="G12" s="48" t="inlineStr">
        <is>
          <t>41213</t>
        </is>
      </c>
      <c r="H12" s="30">
        <f t="array" ref="H12">IF($G12="","",TEXTJOIN("",TRUE,MID($B12,MID($G12,SEQUENCE(LEN($G12),1),1)+0,1)))</f>
        <v/>
      </c>
      <c r="I12" s="48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</row>
    <row r="13" ht="14.25" customHeight="1" s="62">
      <c r="A13" s="29" t="n">
        <v>4</v>
      </c>
      <c r="B13" s="29" t="inlineStr">
        <is>
          <t>DABC</t>
        </is>
      </c>
      <c r="C13" s="47">
        <f t="array" ref="C13">IFS(D13="","", D13="A","NE", D13="B","SW", D13="C","SE", D13="D","NW",D13="Omit", "")</f>
        <v/>
      </c>
      <c r="D13" s="29" t="inlineStr">
        <is>
          <t>A</t>
        </is>
      </c>
      <c r="E13" s="30">
        <f>IF(D13="","",IF(D13="A","Correct","Incorrect"))</f>
        <v/>
      </c>
      <c r="F13" s="11" t="n">
        <v>12</v>
      </c>
      <c r="G13" s="48" t="inlineStr">
        <is>
          <t>1312</t>
        </is>
      </c>
      <c r="H13" s="30">
        <f t="array" ref="H13">IF($G13="","",TEXTJOIN("",TRUE,MID($B13,MID($G13,SEQUENCE(LEN($G13),1),1)+0,1)))</f>
        <v/>
      </c>
      <c r="I13" s="48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</row>
    <row r="14" ht="14.25" customHeight="1" s="62">
      <c r="A14" s="29" t="n">
        <v>5</v>
      </c>
      <c r="B14" s="29" t="inlineStr">
        <is>
          <t>ABCD</t>
        </is>
      </c>
      <c r="C14" s="47">
        <f t="array" ref="C14">IFS(D14="","", D14="A","NW", D14="B","NE", D14="C","SW", D14="D","SE",D14="Omit", "")</f>
        <v/>
      </c>
      <c r="D14" s="29" t="inlineStr">
        <is>
          <t>D</t>
        </is>
      </c>
      <c r="E14" s="30">
        <f>IF(D14="","",IF(D14="A","Correct","Incorrect"))</f>
        <v/>
      </c>
      <c r="F14" s="11" t="n">
        <v>3</v>
      </c>
      <c r="G14" s="48" t="inlineStr">
        <is>
          <t>4</t>
        </is>
      </c>
      <c r="H14" s="30">
        <f t="array" ref="H14">IF($G14="","",TEXTJOIN("",TRUE,MID($B14,MID($G14,SEQUENCE(LEN($G14),1),1)+0,1)))</f>
        <v/>
      </c>
      <c r="I14" s="48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</row>
    <row r="15" ht="14.25" customHeight="1" s="62">
      <c r="A15" s="29" t="n">
        <v>6</v>
      </c>
      <c r="B15" s="29" t="inlineStr">
        <is>
          <t>BCDA</t>
        </is>
      </c>
      <c r="C15" s="47">
        <f t="array" ref="C15">IFS(D15="","", D15="A","SE", D15="B","NW", D15="C","NE", D15="D","SW",D15="Omit", "")</f>
        <v/>
      </c>
      <c r="D15" s="29" t="inlineStr">
        <is>
          <t>A</t>
        </is>
      </c>
      <c r="E15" s="30">
        <f>IF(D15="","",IF(D15="A","Correct","Incorrect"))</f>
        <v/>
      </c>
      <c r="F15" s="11" t="n">
        <v>5</v>
      </c>
      <c r="G15" s="48" t="inlineStr">
        <is>
          <t>4</t>
        </is>
      </c>
      <c r="H15" s="30">
        <f t="array" ref="H15">IF($G15="","",TEXTJOIN("",TRUE,MID($B15,MID($G15,SEQUENCE(LEN($G15),1),1)+0,1)))</f>
        <v/>
      </c>
      <c r="I15" s="48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</row>
    <row r="16" ht="14.25" customHeight="1" s="62">
      <c r="A16" s="29" t="n">
        <v>7</v>
      </c>
      <c r="B16" s="29" t="inlineStr">
        <is>
          <t>CDAB</t>
        </is>
      </c>
      <c r="C16" s="47">
        <f t="array" ref="C16">IFS(D16="","", D16="A","SW", D16="B","SE", D16="C","NW", D16="D","NE",D16="Omit", "")</f>
        <v/>
      </c>
      <c r="D16" s="29" t="inlineStr">
        <is>
          <t>B</t>
        </is>
      </c>
      <c r="E16" s="30">
        <f>IF(D16="","",IF(D16="A","Correct","Incorrect"))</f>
        <v/>
      </c>
      <c r="F16" s="11" t="n">
        <v>6</v>
      </c>
      <c r="G16" s="48" t="inlineStr">
        <is>
          <t>4</t>
        </is>
      </c>
      <c r="H16" s="30">
        <f t="array" ref="H16">IF($G16="","",TEXTJOIN("",TRUE,MID($B16,MID($G16,SEQUENCE(LEN($G16),1),1)+0,1)))</f>
        <v/>
      </c>
      <c r="I16" s="48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</row>
    <row r="17" ht="14.25" customHeight="1" s="62">
      <c r="A17" s="29" t="n">
        <v>8</v>
      </c>
      <c r="B17" s="29" t="inlineStr">
        <is>
          <t>DABC</t>
        </is>
      </c>
      <c r="C17" s="47">
        <f t="array" ref="C17">IFS(D17="","", D17="A","NE", D17="B","SW", D17="C","SE", D17="D","NW",D17="Omit", "")</f>
        <v/>
      </c>
      <c r="D17" s="29" t="inlineStr">
        <is>
          <t>D</t>
        </is>
      </c>
      <c r="E17" s="30">
        <f>IF(D17="","",IF(D17="A","Correct","Incorrect"))</f>
        <v/>
      </c>
      <c r="F17" s="11" t="n">
        <v>14</v>
      </c>
      <c r="G17" s="48" t="inlineStr">
        <is>
          <t>21</t>
        </is>
      </c>
      <c r="H17" s="30">
        <f t="array" ref="H17">IF($G17="","",TEXTJOIN("",TRUE,MID($B17,MID($G17,SEQUENCE(LEN($G17),1),1)+0,1)))</f>
        <v/>
      </c>
      <c r="I17" s="48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</row>
    <row r="18" ht="14.25" customHeight="1" s="62">
      <c r="A18" s="29" t="n">
        <v>9</v>
      </c>
      <c r="B18" s="29" t="inlineStr">
        <is>
          <t>ABCD</t>
        </is>
      </c>
      <c r="C18" s="47">
        <f t="array" ref="C18">IFS(D18="","", D18="A","NW", D18="B","NE", D18="C","SW", D18="D","SE",D18="Omit", "")</f>
        <v/>
      </c>
      <c r="D18" s="29" t="inlineStr">
        <is>
          <t>A</t>
        </is>
      </c>
      <c r="E18" s="30">
        <f>IF(D18="","",IF(D18="A","Correct","Incorrect"))</f>
        <v/>
      </c>
      <c r="F18" s="11" t="n">
        <v>5</v>
      </c>
      <c r="G18" s="48" t="inlineStr">
        <is>
          <t>1</t>
        </is>
      </c>
      <c r="H18" s="30">
        <f t="array" ref="H18">IF($G18="","",TEXTJOIN("",TRUE,MID($B18,MID($G18,SEQUENCE(LEN($G18),1),1)+0,1)))</f>
        <v/>
      </c>
      <c r="I18" s="48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</row>
    <row r="19" ht="14.25" customHeight="1" s="62">
      <c r="A19" s="29" t="n">
        <v>10</v>
      </c>
      <c r="B19" s="29" t="inlineStr">
        <is>
          <t>BCDA</t>
        </is>
      </c>
      <c r="C19" s="47">
        <f t="array" ref="C19">IFS(D19="","", D19="A","SE", D19="B","NW", D19="C","NE", D19="D","SW",D19="Omit", "")</f>
        <v/>
      </c>
      <c r="D19" s="29" t="inlineStr">
        <is>
          <t>A</t>
        </is>
      </c>
      <c r="E19" s="30">
        <f>IF(D19="","",IF(D19="A","Correct","Incorrect"))</f>
        <v/>
      </c>
      <c r="F19" s="11" t="n">
        <v>9</v>
      </c>
      <c r="G19" s="48" t="inlineStr">
        <is>
          <t>34</t>
        </is>
      </c>
      <c r="H19" s="30">
        <f t="array" ref="H19">IF($G19="","",TEXTJOIN("",TRUE,MID($B19,MID($G19,SEQUENCE(LEN($G19),1),1)+0,1)))</f>
        <v/>
      </c>
      <c r="I19" s="48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</row>
    <row r="20" ht="14.25" customHeight="1" s="62">
      <c r="A20" s="29" t="n">
        <v>11</v>
      </c>
      <c r="B20" s="29" t="inlineStr">
        <is>
          <t>CDAB</t>
        </is>
      </c>
      <c r="C20" s="47">
        <f t="array" ref="C20">IFS(D20="","", D20="A","SW", D20="B","SE", D20="C","NW", D20="D","NE",D20="Omit", "")</f>
        <v/>
      </c>
      <c r="D20" s="29" t="inlineStr">
        <is>
          <t>A</t>
        </is>
      </c>
      <c r="E20" s="30">
        <f>IF(D20="","",IF(D20="A","Correct","Incorrect"))</f>
        <v/>
      </c>
      <c r="F20" s="11" t="n">
        <v>32</v>
      </c>
      <c r="G20" s="48" t="inlineStr">
        <is>
          <t>4213</t>
        </is>
      </c>
      <c r="H20" s="30">
        <f t="array" ref="H20">IF($G20="","",TEXTJOIN("",TRUE,MID($B20,MID($G20,SEQUENCE(LEN($G20),1),1)+0,1)))</f>
        <v/>
      </c>
      <c r="I20" s="48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</row>
    <row r="21" ht="14.25" customHeight="1" s="62">
      <c r="A21" s="29" t="n">
        <v>12</v>
      </c>
      <c r="B21" s="29" t="inlineStr">
        <is>
          <t>DABC</t>
        </is>
      </c>
      <c r="C21" s="47">
        <f t="array" ref="C21">IFS(D21="","", D21="A","NE", D21="B","SW", D21="C","SE", D21="D","NW",D21="Omit", "")</f>
        <v/>
      </c>
      <c r="D21" s="29" t="inlineStr">
        <is>
          <t>A</t>
        </is>
      </c>
      <c r="E21" s="30">
        <f>IF(D21="","",IF(D21="A","Correct","Incorrect"))</f>
        <v/>
      </c>
      <c r="F21" s="11" t="n">
        <v>24</v>
      </c>
      <c r="G21" s="48" t="inlineStr">
        <is>
          <t>314312</t>
        </is>
      </c>
      <c r="H21" s="30">
        <f t="array" ref="H21">IF($G21="","",TEXTJOIN("",TRUE,MID($B21,MID($G21,SEQUENCE(LEN($G21),1),1)+0,1)))</f>
        <v/>
      </c>
      <c r="I21" s="48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</row>
    <row r="22" ht="14.25" customHeight="1" s="62">
      <c r="A22" s="29" t="n">
        <v>13</v>
      </c>
      <c r="B22" s="29" t="inlineStr">
        <is>
          <t>ABCD</t>
        </is>
      </c>
      <c r="C22" s="47">
        <f t="array" ref="C22">IFS(D22="","", D22="A","NW", D22="B","NE", D22="C","SW", D22="D","SE",D22="Omit", "")</f>
        <v/>
      </c>
      <c r="D22" s="29" t="inlineStr">
        <is>
          <t>A</t>
        </is>
      </c>
      <c r="E22" s="30">
        <f>IF(D22="","",IF(D22="A","Correct","Incorrect"))</f>
        <v/>
      </c>
      <c r="F22" s="11" t="n">
        <v>5</v>
      </c>
      <c r="G22" s="48" t="inlineStr">
        <is>
          <t>21</t>
        </is>
      </c>
      <c r="H22" s="30">
        <f t="array" ref="H22">IF($G22="","",TEXTJOIN("",TRUE,MID($B22,MID($G22,SEQUENCE(LEN($G22),1),1)+0,1)))</f>
        <v/>
      </c>
      <c r="I22" s="48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</row>
    <row r="23" ht="14.25" customHeight="1" s="62">
      <c r="A23" s="29" t="n">
        <v>14</v>
      </c>
      <c r="B23" s="29" t="inlineStr">
        <is>
          <t>BCDA</t>
        </is>
      </c>
      <c r="C23" s="47">
        <f t="array" ref="C23">IFS(D23="","", D23="A","SE", D23="B","NW", D23="C","NE", D23="D","SW",D23="Omit", "")</f>
        <v/>
      </c>
      <c r="D23" s="29" t="inlineStr">
        <is>
          <t>A</t>
        </is>
      </c>
      <c r="E23" s="30">
        <f>IF(D23="","",IF(D23="A","Correct","Incorrect"))</f>
        <v/>
      </c>
      <c r="F23" s="11" t="n">
        <v>15</v>
      </c>
      <c r="G23" s="48" t="inlineStr">
        <is>
          <t>23124</t>
        </is>
      </c>
      <c r="H23" s="30">
        <f t="array" ref="H23">IF($G23="","",TEXTJOIN("",TRUE,MID($B23,MID($G23,SEQUENCE(LEN($G23),1),1)+0,1)))</f>
        <v/>
      </c>
      <c r="I23" s="48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</row>
    <row r="24" ht="14.25" customHeight="1" s="62">
      <c r="A24" s="29" t="n">
        <v>15</v>
      </c>
      <c r="B24" s="29" t="inlineStr">
        <is>
          <t>CDAB</t>
        </is>
      </c>
      <c r="C24" s="47">
        <f t="array" ref="C24">IFS(D24="","", D24="A","SW", D24="B","SE", D24="C","NW", D24="D","NE",D24="Omit", "")</f>
        <v/>
      </c>
      <c r="D24" s="29" t="inlineStr">
        <is>
          <t>D</t>
        </is>
      </c>
      <c r="E24" s="30">
        <f>IF(D24="","",IF(D24="A","Correct","Incorrect"))</f>
        <v/>
      </c>
      <c r="F24" s="11" t="n">
        <v>2</v>
      </c>
      <c r="G24" s="48" t="inlineStr">
        <is>
          <t>42</t>
        </is>
      </c>
      <c r="H24" s="30">
        <f t="array" ref="H24">IF($G24="","",TEXTJOIN("",TRUE,MID($B24,MID($G24,SEQUENCE(LEN($G24),1),1)+0,1)))</f>
        <v/>
      </c>
      <c r="I24" s="48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</row>
    <row r="25" ht="14.25" customHeight="1" s="62">
      <c r="A25" s="29" t="n">
        <v>16</v>
      </c>
      <c r="B25" s="29" t="inlineStr">
        <is>
          <t>DABC</t>
        </is>
      </c>
      <c r="C25" s="47">
        <f t="array" ref="C25">IFS(D25="","", D25="A","NE", D25="B","SW", D25="C","SE", D25="D","NW",D25="Omit", "")</f>
        <v/>
      </c>
      <c r="D25" s="29" t="inlineStr">
        <is>
          <t>A</t>
        </is>
      </c>
      <c r="E25" s="30">
        <f>IF(D25="","",IF(D25="A","Correct","Incorrect"))</f>
        <v/>
      </c>
      <c r="F25" s="11" t="n">
        <v>13</v>
      </c>
      <c r="G25" s="48" t="inlineStr">
        <is>
          <t>12</t>
        </is>
      </c>
      <c r="H25" s="30">
        <f t="array" ref="H25">IF($G25="","",TEXTJOIN("",TRUE,MID($B25,MID($G25,SEQUENCE(LEN($G25),1),1)+0,1)))</f>
        <v/>
      </c>
      <c r="I25" s="48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</row>
    <row r="26" ht="14.25" customHeight="1" s="62">
      <c r="A26" s="29" t="n">
        <v>17</v>
      </c>
      <c r="B26" s="29" t="inlineStr">
        <is>
          <t>ABCD</t>
        </is>
      </c>
      <c r="C26" s="47">
        <f t="array" ref="C26">IFS(D26="","", D26="A","NW", D26="B","NE", D26="C","SW", D26="D","SE",D26="Omit", "")</f>
        <v/>
      </c>
      <c r="D26" s="29" t="inlineStr">
        <is>
          <t>C</t>
        </is>
      </c>
      <c r="E26" s="30">
        <f>IF(D26="","",IF(D26="A","Correct","Incorrect"))</f>
        <v/>
      </c>
      <c r="F26" s="11" t="n">
        <v>8</v>
      </c>
      <c r="G26" s="48" t="inlineStr">
        <is>
          <t>3</t>
        </is>
      </c>
      <c r="H26" s="30">
        <f t="array" ref="H26">IF($G26="","",TEXTJOIN("",TRUE,MID($B26,MID($G26,SEQUENCE(LEN($G26),1),1)+0,1)))</f>
        <v/>
      </c>
      <c r="I26" s="48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</row>
    <row r="27" ht="14.25" customHeight="1" s="62">
      <c r="A27" s="29" t="n">
        <v>18</v>
      </c>
      <c r="B27" s="29" t="inlineStr">
        <is>
          <t>BCDA</t>
        </is>
      </c>
      <c r="C27" s="47">
        <f t="array" ref="C27">IFS(D27="","", D27="A","SE", D27="B","NW", D27="C","NE", D27="D","SW",D27="Omit", "")</f>
        <v/>
      </c>
      <c r="D27" s="29" t="inlineStr">
        <is>
          <t>D</t>
        </is>
      </c>
      <c r="E27" s="30">
        <f>IF(D27="","",IF(D27="A","Correct","Incorrect"))</f>
        <v/>
      </c>
      <c r="F27" s="11" t="n">
        <v>14</v>
      </c>
      <c r="G27" s="48" t="inlineStr">
        <is>
          <t>4</t>
        </is>
      </c>
      <c r="H27" s="30">
        <f t="array" ref="H27">IF($G27="","",TEXTJOIN("",TRUE,MID($B27,MID($G27,SEQUENCE(LEN($G27),1),1)+0,1)))</f>
        <v/>
      </c>
      <c r="I27" s="48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</row>
    <row r="28" ht="14.25" customHeight="1" s="62">
      <c r="A28" s="29" t="n">
        <v>19</v>
      </c>
      <c r="B28" s="29" t="inlineStr">
        <is>
          <t>CDAB</t>
        </is>
      </c>
      <c r="C28" s="47">
        <f t="array" ref="C28">IFS(D28="","", D28="A","SW", D28="B","SE", D28="C","NW", D28="D","NE",D28="Omit", "")</f>
        <v/>
      </c>
      <c r="D28" s="29" t="inlineStr">
        <is>
          <t>D</t>
        </is>
      </c>
      <c r="E28" s="30">
        <f>IF(D28="","",IF(D28="A","Correct","Incorrect"))</f>
        <v/>
      </c>
      <c r="F28" s="11" t="n">
        <v>14</v>
      </c>
      <c r="G28" s="48" t="inlineStr">
        <is>
          <t>142</t>
        </is>
      </c>
      <c r="H28" s="30">
        <f t="array" ref="H28">IF($G28="","",TEXTJOIN("",TRUE,MID($B28,MID($G28,SEQUENCE(LEN($G28),1),1)+0,1)))</f>
        <v/>
      </c>
      <c r="I28" s="48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</row>
    <row r="29" ht="14.25" customHeight="1" s="62">
      <c r="A29" s="29" t="n">
        <v>20</v>
      </c>
      <c r="B29" s="29" t="inlineStr">
        <is>
          <t>DABC</t>
        </is>
      </c>
      <c r="C29" s="47">
        <f t="array" ref="C29">IFS(D29="","", D29="A","NE", D29="B","SW", D29="C","SE", D29="D","NW",D29="Omit", "")</f>
        <v/>
      </c>
      <c r="D29" s="29" t="inlineStr">
        <is>
          <t>D</t>
        </is>
      </c>
      <c r="E29" s="30">
        <f>IF(D29="","",IF(D29="A","Correct","Incorrect"))</f>
        <v/>
      </c>
      <c r="F29" s="11" t="n">
        <v>82</v>
      </c>
      <c r="G29" s="48" t="inlineStr">
        <is>
          <t>31342413424241</t>
        </is>
      </c>
      <c r="H29" s="30">
        <f t="array" ref="H29">IF($G29="","",TEXTJOIN("",TRUE,MID($B29,MID($G29,SEQUENCE(LEN($G29),1),1)+0,1)))</f>
        <v/>
      </c>
      <c r="I29" s="48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</row>
    <row r="30" ht="14.25" customHeight="1" s="62">
      <c r="A30" s="29" t="n">
        <v>21</v>
      </c>
      <c r="B30" s="29" t="inlineStr">
        <is>
          <t>ABCD</t>
        </is>
      </c>
      <c r="C30" s="47">
        <f t="array" ref="C30">IFS(D30="","", D30="A","NW", D30="B","NE", D30="C","SW", D30="D","SE",D30="Omit", "")</f>
        <v/>
      </c>
      <c r="D30" s="29" t="inlineStr">
        <is>
          <t>D</t>
        </is>
      </c>
      <c r="E30" s="30">
        <f>IF(D30="","",IF(D30="A","Correct","Incorrect"))</f>
        <v/>
      </c>
      <c r="F30" s="11" t="n">
        <v>72</v>
      </c>
      <c r="G30" s="48" t="inlineStr">
        <is>
          <t>134242434343434</t>
        </is>
      </c>
      <c r="H30" s="30">
        <f t="array" ref="H30">IF($G30="","",TEXTJOIN("",TRUE,MID($B30,MID($G30,SEQUENCE(LEN($G30),1),1)+0,1)))</f>
        <v/>
      </c>
      <c r="I30" s="48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</row>
    <row r="31" ht="14.25" customHeight="1" s="62">
      <c r="A31" s="29" t="n">
        <v>22</v>
      </c>
      <c r="B31" s="29" t="inlineStr">
        <is>
          <t>BCDA</t>
        </is>
      </c>
      <c r="C31" s="47">
        <f t="array" ref="C31">IFS(D31="","", D31="A","SE", D31="B","NW", D31="C","NE", D31="D","SW",D31="Omit", "")</f>
        <v/>
      </c>
      <c r="D31" s="29" t="inlineStr">
        <is>
          <t>A</t>
        </is>
      </c>
      <c r="E31" s="30">
        <f>IF(D31="","",IF(D31="A","Correct","Incorrect"))</f>
        <v/>
      </c>
      <c r="F31" s="11" t="n">
        <v>6</v>
      </c>
      <c r="G31" s="48" t="inlineStr">
        <is>
          <t>34</t>
        </is>
      </c>
      <c r="H31" s="30">
        <f t="array" ref="H31">IF($G31="","",TEXTJOIN("",TRUE,MID($B31,MID($G31,SEQUENCE(LEN($G31),1),1)+0,1)))</f>
        <v/>
      </c>
      <c r="I31" s="48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</row>
    <row r="32" ht="14.25" customHeight="1" s="62">
      <c r="A32" s="29" t="n">
        <v>23</v>
      </c>
      <c r="B32" s="29" t="inlineStr">
        <is>
          <t>CDAB</t>
        </is>
      </c>
      <c r="C32" s="47">
        <f t="array" ref="C32">IFS(D32="","", D32="A","SW", D32="B","SE", D32="C","NW", D32="D","NE",D32="Omit", "")</f>
        <v/>
      </c>
      <c r="D32" s="29" t="inlineStr">
        <is>
          <t>A</t>
        </is>
      </c>
      <c r="E32" s="30">
        <f>IF(D32="","",IF(D32="A","Correct","Incorrect"))</f>
        <v/>
      </c>
      <c r="F32" s="11" t="n">
        <v>5</v>
      </c>
      <c r="G32" s="48" t="inlineStr">
        <is>
          <t>3</t>
        </is>
      </c>
      <c r="H32" s="30">
        <f t="array" ref="H32">IF($G32="","",TEXTJOIN("",TRUE,MID($B32,MID($G32,SEQUENCE(LEN($G32),1),1)+0,1)))</f>
        <v/>
      </c>
      <c r="I32" s="48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</row>
    <row r="33" ht="14.25" customHeight="1" s="62">
      <c r="A33" s="29" t="n">
        <v>24</v>
      </c>
      <c r="B33" s="29" t="inlineStr">
        <is>
          <t>DABC</t>
        </is>
      </c>
      <c r="C33" s="47">
        <f t="array" ref="C33">IFS(D33="","", D33="A","NE", D33="B","SW", D33="C","SE", D33="D","NW",D33="Omit", "")</f>
        <v/>
      </c>
      <c r="D33" s="29" t="inlineStr">
        <is>
          <t>A</t>
        </is>
      </c>
      <c r="E33" s="30">
        <f>IF(D33="","",IF(D33="A","Correct","Incorrect"))</f>
        <v/>
      </c>
      <c r="F33" s="11" t="n">
        <v>14</v>
      </c>
      <c r="G33" s="48" t="inlineStr">
        <is>
          <t>342</t>
        </is>
      </c>
      <c r="H33" s="30">
        <f t="array" ref="H33">IF($G33="","",TEXTJOIN("",TRUE,MID($B33,MID($G33,SEQUENCE(LEN($G33),1),1)+0,1)))</f>
        <v/>
      </c>
      <c r="I33" s="48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</row>
    <row r="34" ht="14.25" customHeight="1" s="62">
      <c r="A34" s="29" t="n">
        <v>25</v>
      </c>
      <c r="B34" s="29" t="inlineStr">
        <is>
          <t>ABCD</t>
        </is>
      </c>
      <c r="C34" s="47">
        <f t="array" ref="C34">IFS(D34="","", D34="A","NW", D34="B","NE", D34="C","SW", D34="D","SE",D34="Omit", "")</f>
        <v/>
      </c>
      <c r="D34" s="29" t="inlineStr">
        <is>
          <t>A</t>
        </is>
      </c>
      <c r="E34" s="30">
        <f>IF(D34="","",IF(D34="A","Correct","Incorrect"))</f>
        <v/>
      </c>
      <c r="F34" s="11" t="n">
        <v>22</v>
      </c>
      <c r="G34" s="48" t="inlineStr">
        <is>
          <t>12421</t>
        </is>
      </c>
      <c r="H34" s="30">
        <f t="array" ref="H34">IF($G34="","",TEXTJOIN("",TRUE,MID($B34,MID($G34,SEQUENCE(LEN($G34),1),1)+0,1)))</f>
        <v/>
      </c>
      <c r="I34" s="48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</row>
    <row r="35" ht="14.25" customHeight="1" s="62">
      <c r="A35" s="29" t="n">
        <v>26</v>
      </c>
      <c r="B35" s="29" t="inlineStr">
        <is>
          <t>BCDA</t>
        </is>
      </c>
      <c r="C35" s="47">
        <f t="array" ref="C35">IFS(D35="","", D35="A","SE", D35="B","NW", D35="C","NE", D35="D","SW",D35="Omit", "")</f>
        <v/>
      </c>
      <c r="D35" s="29" t="inlineStr">
        <is>
          <t>A</t>
        </is>
      </c>
      <c r="E35" s="30">
        <f>IF(D35="","",IF(D35="A","Correct","Incorrect"))</f>
        <v/>
      </c>
      <c r="F35" s="11" t="n">
        <v>19</v>
      </c>
      <c r="G35" s="48" t="inlineStr">
        <is>
          <t>342424</t>
        </is>
      </c>
      <c r="H35" s="30">
        <f t="array" ref="H35">IF($G35="","",TEXTJOIN("",TRUE,MID($B35,MID($G35,SEQUENCE(LEN($G35),1),1)+0,1)))</f>
        <v/>
      </c>
      <c r="I35" s="48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</row>
    <row r="36" ht="14.25" customHeight="1" s="62">
      <c r="A36" s="29" t="n">
        <v>27</v>
      </c>
      <c r="B36" s="29" t="inlineStr">
        <is>
          <t>CDAB</t>
        </is>
      </c>
      <c r="C36" s="47">
        <f t="array" ref="C36">IFS(D36="","", D36="A","SW", D36="B","SE", D36="C","NW", D36="D","NE",D36="Omit", "")</f>
        <v/>
      </c>
      <c r="D36" s="29" t="inlineStr">
        <is>
          <t>A</t>
        </is>
      </c>
      <c r="E36" s="30">
        <f>IF(D36="","",IF(D36="A","Correct","Incorrect"))</f>
        <v/>
      </c>
      <c r="F36" s="11" t="n">
        <v>17</v>
      </c>
      <c r="G36" s="48" t="inlineStr">
        <is>
          <t>4213</t>
        </is>
      </c>
      <c r="H36" s="30">
        <f t="array" ref="H36">IF($G36="","",TEXTJOIN("",TRUE,MID($B36,MID($G36,SEQUENCE(LEN($G36),1),1)+0,1)))</f>
        <v/>
      </c>
      <c r="I36" s="48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</row>
    <row r="37" ht="14.25" customHeight="1" s="62">
      <c r="A37" s="29" t="n">
        <v>28</v>
      </c>
      <c r="B37" s="29" t="inlineStr">
        <is>
          <t>DABC</t>
        </is>
      </c>
      <c r="C37" s="47">
        <f t="array" ref="C37">IFS(D37="","", D37="A","NE", D37="B","SW", D37="C","SE", D37="D","NW",D37="Omit", "")</f>
        <v/>
      </c>
      <c r="D37" s="29" t="inlineStr">
        <is>
          <t>A</t>
        </is>
      </c>
      <c r="E37" s="30">
        <f>IF(D37="","",IF(D37="A","Correct","Incorrect"))</f>
        <v/>
      </c>
      <c r="F37" s="11" t="n">
        <v>20</v>
      </c>
      <c r="G37" s="48" t="inlineStr">
        <is>
          <t>142</t>
        </is>
      </c>
      <c r="H37" s="30">
        <f t="array" ref="H37">IF($G37="","",TEXTJOIN("",TRUE,MID($B37,MID($G37,SEQUENCE(LEN($G37),1),1)+0,1)))</f>
        <v/>
      </c>
      <c r="I37" s="48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</row>
    <row r="38" ht="14.25" customHeight="1" s="62">
      <c r="A38" s="29" t="n">
        <v>29</v>
      </c>
      <c r="B38" s="29" t="inlineStr">
        <is>
          <t>ABCD</t>
        </is>
      </c>
      <c r="C38" s="47">
        <f t="array" ref="C38">IFS(D38="","", D38="A","NW", D38="B","NE", D38="C","SW", D38="D","SE",D38="Omit", "")</f>
        <v/>
      </c>
      <c r="D38" s="29" t="inlineStr">
        <is>
          <t>D</t>
        </is>
      </c>
      <c r="E38" s="30">
        <f>IF(D38="","",IF(D38="A","Correct","Incorrect"))</f>
        <v/>
      </c>
      <c r="F38" s="11" t="n">
        <v>20</v>
      </c>
      <c r="G38" s="48" t="inlineStr">
        <is>
          <t>3234</t>
        </is>
      </c>
      <c r="H38" s="30">
        <f t="array" ref="H38">IF($G38="","",TEXTJOIN("",TRUE,MID($B38,MID($G38,SEQUENCE(LEN($G38),1),1)+0,1)))</f>
        <v/>
      </c>
      <c r="I38" s="48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</row>
    <row r="39" ht="14.25" customHeight="1" s="62">
      <c r="A39" s="29" t="n">
        <v>30</v>
      </c>
      <c r="B39" s="29" t="inlineStr">
        <is>
          <t>BCDA</t>
        </is>
      </c>
      <c r="C39" s="47">
        <f t="array" ref="C39">IFS(D39="","", D39="A","SE", D39="B","NW", D39="C","NE", D39="D","SW",D39="Omit", "")</f>
        <v/>
      </c>
      <c r="D39" s="29" t="inlineStr">
        <is>
          <t>A</t>
        </is>
      </c>
      <c r="E39" s="30">
        <f>IF(D39="","",IF(D39="A","Correct","Incorrect"))</f>
        <v/>
      </c>
      <c r="F39" s="54" t="n">
        <v>7</v>
      </c>
      <c r="G39" s="48" t="inlineStr">
        <is>
          <t>14</t>
        </is>
      </c>
      <c r="H39" s="30">
        <f t="array" ref="H39">IF($G39="","",TEXTJOIN("",TRUE,MID($B39,MID($G39,SEQUENCE(LEN($G39),1),1)+0,1)))</f>
        <v/>
      </c>
      <c r="I39" s="48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</row>
    <row r="40" ht="14.25" customHeight="1" s="62">
      <c r="A40" s="29" t="n">
        <v>31</v>
      </c>
      <c r="B40" s="29" t="inlineStr">
        <is>
          <t>CDAB</t>
        </is>
      </c>
      <c r="C40" s="47">
        <f t="array" ref="C40">IFS(D40="","", D40="A","NW", D40="B","NE", D40="C","SW", D40="D","SE",D40="Omit", "")</f>
        <v/>
      </c>
      <c r="D40" s="29" t="n"/>
      <c r="E40" s="30">
        <f>IF(D40="","",IF(D40="A","Correct","Incorrect"))</f>
        <v/>
      </c>
      <c r="F40" s="53" t="n"/>
      <c r="G40" s="48" t="n"/>
      <c r="H40" s="30">
        <f t="array" ref="H40">IF($G40="","",TEXTJOIN("",TRUE,MID($B40,MID($G40,SEQUENCE(LEN($G40),1),1)+0,1)))</f>
        <v/>
      </c>
      <c r="I40" s="48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</row>
    <row r="41" ht="14.25" customHeight="1" s="62">
      <c r="A41" s="29" t="n">
        <v>32</v>
      </c>
      <c r="B41" s="29" t="inlineStr">
        <is>
          <t>DABC</t>
        </is>
      </c>
      <c r="C41" s="47">
        <f t="array" ref="C41">IFS(D41="","", D41="A","SE", D41="B","NW", D41="C","NE", D41="D","SW",D41="Omit", "")</f>
        <v/>
      </c>
      <c r="D41" s="29" t="n"/>
      <c r="E41" s="30">
        <f>IF(D41="","",IF(D41="A","Correct","Incorrect"))</f>
        <v/>
      </c>
      <c r="F41" s="53" t="n"/>
      <c r="G41" s="48" t="n"/>
      <c r="H41" s="30">
        <f t="array" ref="H41">IF($G41="","",TEXTJOIN("",TRUE,MID($B41,MID($G41,SEQUENCE(LEN($G41),1),1)+0,1)))</f>
        <v/>
      </c>
      <c r="I41" s="48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</row>
    <row r="42" ht="14.25" customHeight="1" s="62">
      <c r="A42" s="29" t="n">
        <v>33</v>
      </c>
      <c r="B42" s="29" t="inlineStr">
        <is>
          <t>ABCD</t>
        </is>
      </c>
      <c r="C42" s="47">
        <f t="array" ref="C42">IFS(D42="","", D42="A","SW", D42="B","SE", D42="C","NW", D42="D","NE",D42="Omit", "")</f>
        <v/>
      </c>
      <c r="D42" s="29" t="n"/>
      <c r="E42" s="30">
        <f>IF(D42="","",IF(D42="A","Correct","Incorrect"))</f>
        <v/>
      </c>
      <c r="F42" s="53" t="n"/>
      <c r="G42" s="48" t="n"/>
      <c r="H42" s="30">
        <f t="array" ref="H42">IF($G42="","",TEXTJOIN("",TRUE,MID($B42,MID($G42,SEQUENCE(LEN($G42),1),1)+0,1)))</f>
        <v/>
      </c>
      <c r="I42" s="48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</row>
    <row r="43" ht="14.25" customHeight="1" s="62">
      <c r="A43" s="29" t="n">
        <v>34</v>
      </c>
      <c r="B43" s="29" t="inlineStr">
        <is>
          <t>BCDA</t>
        </is>
      </c>
      <c r="C43" s="47">
        <f t="array" ref="C43">IFS(D43="","", D43="A","NE", D43="B","SW", D43="C","SE", D43="D","NW",D43="Omit", "")</f>
        <v/>
      </c>
      <c r="D43" s="29" t="n"/>
      <c r="E43" s="30">
        <f>IF(D43="","",IF(D43="A","Correct","Incorrect"))</f>
        <v/>
      </c>
      <c r="F43" s="53" t="n"/>
      <c r="G43" s="48" t="n"/>
      <c r="H43" s="30">
        <f t="array" ref="H43">IF($G43="","",TEXTJOIN("",TRUE,MID($B43,MID($G43,SEQUENCE(LEN($G43),1),1)+0,1)))</f>
        <v/>
      </c>
      <c r="I43" s="48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</row>
    <row r="44" ht="14.25" customHeight="1" s="62">
      <c r="A44" s="29" t="n">
        <v>35</v>
      </c>
      <c r="B44" s="29" t="inlineStr">
        <is>
          <t>CDAB</t>
        </is>
      </c>
      <c r="C44" s="47">
        <f t="array" ref="C44">IFS(D44="","", D44="A","NW", D44="B","NE", D44="C","SW", D44="D","SE",D44="Omit", "")</f>
        <v/>
      </c>
      <c r="D44" s="29" t="n"/>
      <c r="E44" s="30">
        <f>IF(D44="","",IF(D44="A","Correct","Incorrect"))</f>
        <v/>
      </c>
      <c r="F44" s="53" t="n"/>
      <c r="G44" s="48" t="n"/>
      <c r="H44" s="30">
        <f t="array" ref="H44">IF($G44="","",TEXTJOIN("",TRUE,MID($B44,MID($G44,SEQUENCE(LEN($G44),1),1)+0,1)))</f>
        <v/>
      </c>
      <c r="I44" s="48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</row>
    <row r="45" ht="14.25" customHeight="1" s="62">
      <c r="A45" s="29" t="n">
        <v>36</v>
      </c>
      <c r="B45" s="29" t="inlineStr">
        <is>
          <t>DABC</t>
        </is>
      </c>
      <c r="C45" s="47">
        <f t="array" ref="C45">IFS(D45="","", D45="A","SE", D45="B","NW", D45="C","NE", D45="D","SW",D45="Omit", "")</f>
        <v/>
      </c>
      <c r="D45" s="29" t="n"/>
      <c r="E45" s="30">
        <f>IF(D45="","",IF(D45="A","Correct","Incorrect"))</f>
        <v/>
      </c>
      <c r="F45" s="53" t="n"/>
      <c r="G45" s="48" t="n"/>
      <c r="H45" s="30">
        <f t="array" ref="H45">IF($G45="","",TEXTJOIN("",TRUE,MID($B45,MID($G45,SEQUENCE(LEN($G45),1),1)+0,1)))</f>
        <v/>
      </c>
      <c r="I45" s="48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</row>
    <row r="46" ht="14.25" customHeight="1" s="62">
      <c r="A46" s="29" t="n">
        <v>37</v>
      </c>
      <c r="B46" s="29" t="inlineStr">
        <is>
          <t>ABCD</t>
        </is>
      </c>
      <c r="C46" s="47">
        <f t="array" ref="C46">IFS(D46="","", D46="A","SW", D46="B","SE", D46="C","NW", D46="D","NE",D46="Omit", "")</f>
        <v/>
      </c>
      <c r="D46" s="29" t="n"/>
      <c r="E46" s="30">
        <f>IF(D46="","",IF(D46="A","Correct","Incorrect"))</f>
        <v/>
      </c>
      <c r="F46" s="53" t="n"/>
      <c r="G46" s="48" t="n"/>
      <c r="H46" s="30">
        <f t="array" ref="H46">IF($G46="","",TEXTJOIN("",TRUE,MID($B46,MID($G46,SEQUENCE(LEN($G46),1),1)+0,1)))</f>
        <v/>
      </c>
      <c r="I46" s="48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</row>
    <row r="47" ht="14.25" customHeight="1" s="62">
      <c r="A47" s="29" t="n">
        <v>38</v>
      </c>
      <c r="B47" s="29" t="inlineStr">
        <is>
          <t>BCDA</t>
        </is>
      </c>
      <c r="C47" s="47">
        <f t="array" ref="C47">IFS(D47="","", D47="A","NE", D47="B","SW", D47="C","SE", D47="D","NW",D47="Omit", "")</f>
        <v/>
      </c>
      <c r="D47" s="29" t="n"/>
      <c r="E47" s="30">
        <f>IF(D47="","",IF(D47="A","Correct","Incorrect"))</f>
        <v/>
      </c>
      <c r="F47" s="53" t="n"/>
      <c r="G47" s="48" t="n"/>
      <c r="H47" s="30">
        <f t="array" ref="H47">IF($G47="","",TEXTJOIN("",TRUE,MID($B47,MID($G47,SEQUENCE(LEN($G47),1),1)+0,1)))</f>
        <v/>
      </c>
      <c r="I47" s="48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</row>
    <row r="48" ht="14.25" customHeight="1" s="62">
      <c r="A48" s="29" t="n">
        <v>39</v>
      </c>
      <c r="B48" s="29" t="inlineStr">
        <is>
          <t>CDAB</t>
        </is>
      </c>
      <c r="C48" s="47">
        <f t="array" ref="C48">IFS(D48="","", D48="A","NW", D48="B","NE", D48="C","SW", D48="D","SE",D48="Omit", "")</f>
        <v/>
      </c>
      <c r="D48" s="29" t="n"/>
      <c r="E48" s="30">
        <f>IF(D48="","",IF(D48="A","Correct","Incorrect"))</f>
        <v/>
      </c>
      <c r="F48" s="53" t="n"/>
      <c r="G48" s="48" t="n"/>
      <c r="H48" s="30">
        <f t="array" ref="H48">IF($G48="","",TEXTJOIN("",TRUE,MID($B48,MID($G48,SEQUENCE(LEN($G48),1),1)+0,1)))</f>
        <v/>
      </c>
      <c r="I48" s="48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</row>
    <row r="49" ht="14.25" customHeight="1" s="62">
      <c r="A49" s="29" t="n">
        <v>40</v>
      </c>
      <c r="B49" s="29" t="inlineStr">
        <is>
          <t>DABC</t>
        </is>
      </c>
      <c r="C49" s="47">
        <f t="array" ref="C49">IFS(D49="","", D49="A","SE", D49="B","NW", D49="C","NE", D49="D","SW",D49="Omit", "")</f>
        <v/>
      </c>
      <c r="D49" s="29" t="n"/>
      <c r="E49" s="30">
        <f>IF(D49="","",IF(D49="A","Correct","Incorrect"))</f>
        <v/>
      </c>
      <c r="F49" s="53" t="n"/>
      <c r="G49" s="48" t="n"/>
      <c r="H49" s="30">
        <f t="array" ref="H49">IF($G49="","",TEXTJOIN("",TRUE,MID($B49,MID($G49,SEQUENCE(LEN($G49),1),1)+0,1)))</f>
        <v/>
      </c>
      <c r="I49" s="48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</row>
    <row r="50" ht="14.25" customHeight="1" s="62">
      <c r="A50" s="29" t="n">
        <v>41</v>
      </c>
      <c r="B50" s="29" t="inlineStr">
        <is>
          <t>ABCD</t>
        </is>
      </c>
      <c r="C50" s="47">
        <f t="array" ref="C50">IFS(D50="","", D50="A","SW", D50="B","SE", D50="C","NW", D50="D","NE",D50="Omit", "")</f>
        <v/>
      </c>
      <c r="D50" s="29" t="n"/>
      <c r="E50" s="30">
        <f>IF(D50="","",IF(D50="A","Correct","Incorrect"))</f>
        <v/>
      </c>
      <c r="F50" s="53" t="n"/>
      <c r="G50" s="48" t="n"/>
      <c r="H50" s="30">
        <f t="array" ref="H50">IF($G50="","",TEXTJOIN("",TRUE,MID($B50,MID($G50,SEQUENCE(LEN($G50),1),1)+0,1)))</f>
        <v/>
      </c>
      <c r="I50" s="48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</row>
    <row r="51" ht="14.25" customHeight="1" s="62">
      <c r="A51" s="29" t="n">
        <v>42</v>
      </c>
      <c r="B51" s="29" t="inlineStr">
        <is>
          <t>BCDA</t>
        </is>
      </c>
      <c r="C51" s="47">
        <f t="array" ref="C51">IFS(D51="","", D51="A","NE", D51="B","SW", D51="C","SE", D51="D","NW",D51="Omit", "")</f>
        <v/>
      </c>
      <c r="D51" s="29" t="n"/>
      <c r="E51" s="30">
        <f>IF(D51="","",IF(D51="A","Correct","Incorrect"))</f>
        <v/>
      </c>
      <c r="F51" s="53" t="n"/>
      <c r="G51" s="48" t="n"/>
      <c r="H51" s="30">
        <f t="array" ref="H51">IF($G51="","",TEXTJOIN("",TRUE,MID($B51,MID($G51,SEQUENCE(LEN($G51),1),1)+0,1)))</f>
        <v/>
      </c>
      <c r="I51" s="48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</row>
    <row r="52" ht="14.25" customHeight="1" s="62">
      <c r="A52" s="29" t="n">
        <v>43</v>
      </c>
      <c r="B52" s="29" t="inlineStr">
        <is>
          <t>CDAB</t>
        </is>
      </c>
      <c r="C52" s="47">
        <f t="array" ref="C52">IFS(D52="","", D52="A","NW", D52="B","NE", D52="C","SW", D52="D","SE",D52="Omit", "")</f>
        <v/>
      </c>
      <c r="D52" s="29" t="n"/>
      <c r="E52" s="30">
        <f>IF(D52="","",IF(D52="A","Correct","Incorrect"))</f>
        <v/>
      </c>
      <c r="F52" s="53" t="n"/>
      <c r="G52" s="48" t="n"/>
      <c r="H52" s="30">
        <f t="array" ref="H52">IF($G52="","",TEXTJOIN("",TRUE,MID($B52,MID($G52,SEQUENCE(LEN($G52),1),1)+0,1)))</f>
        <v/>
      </c>
      <c r="I52" s="48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</row>
    <row r="53" ht="14.25" customHeight="1" s="62">
      <c r="A53" s="29" t="n">
        <v>44</v>
      </c>
      <c r="B53" s="29" t="inlineStr">
        <is>
          <t>DABC</t>
        </is>
      </c>
      <c r="C53" s="47">
        <f t="array" ref="C53">IFS(D53="","", D53="A","SE", D53="B","NW", D53="C","NE", D53="D","SW",D53="Omit", "")</f>
        <v/>
      </c>
      <c r="D53" s="29" t="n"/>
      <c r="E53" s="30">
        <f>IF(D53="","",IF(D53="A","Correct","Incorrect"))</f>
        <v/>
      </c>
      <c r="F53" s="53" t="n"/>
      <c r="G53" s="48" t="n"/>
      <c r="H53" s="30">
        <f t="array" ref="H53">IF($G53="","",TEXTJOIN("",TRUE,MID($B53,MID($G53,SEQUENCE(LEN($G53),1),1)+0,1)))</f>
        <v/>
      </c>
      <c r="I53" s="48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</row>
    <row r="54" ht="14.25" customHeight="1" s="62">
      <c r="A54" s="29" t="n">
        <v>45</v>
      </c>
      <c r="B54" s="29" t="inlineStr">
        <is>
          <t>ABCD</t>
        </is>
      </c>
      <c r="C54" s="47">
        <f t="array" ref="C54">IFS(D54="","", D54="A","SW", D54="B","SE", D54="C","NW", D54="D","NE",D54="Omit", "")</f>
        <v/>
      </c>
      <c r="D54" s="29" t="n"/>
      <c r="E54" s="30">
        <f>IF(D54="","",IF(D54="A","Correct","Incorrect"))</f>
        <v/>
      </c>
      <c r="F54" s="53" t="n"/>
      <c r="G54" s="48" t="n"/>
      <c r="H54" s="30">
        <f t="array" ref="H54">IF($G54="","",TEXTJOIN("",TRUE,MID($B54,MID($G54,SEQUENCE(LEN($G54),1),1)+0,1)))</f>
        <v/>
      </c>
      <c r="I54" s="48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</row>
    <row r="55" ht="14.25" customHeight="1" s="62">
      <c r="A55" s="29" t="n">
        <v>46</v>
      </c>
      <c r="B55" s="29" t="inlineStr">
        <is>
          <t>BCDA</t>
        </is>
      </c>
      <c r="C55" s="47">
        <f t="array" ref="C55">IFS(D55="","", D55="A","NE", D55="B","SW", D55="C","SE", D55="D","NW",D55="Omit", "")</f>
        <v/>
      </c>
      <c r="D55" s="29" t="n"/>
      <c r="E55" s="30">
        <f>IF(D55="","",IF(D55="A","Correct","Incorrect"))</f>
        <v/>
      </c>
      <c r="F55" s="53" t="n"/>
      <c r="G55" s="48" t="n"/>
      <c r="H55" s="30">
        <f t="array" ref="H55">IF($G55="","",TEXTJOIN("",TRUE,MID($B55,MID($G55,SEQUENCE(LEN($G55),1),1)+0,1)))</f>
        <v/>
      </c>
      <c r="I55" s="48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</row>
    <row r="56" ht="14.25" customHeight="1" s="62">
      <c r="A56" s="29" t="n">
        <v>47</v>
      </c>
      <c r="B56" s="29" t="inlineStr">
        <is>
          <t>CDAB</t>
        </is>
      </c>
      <c r="C56" s="47">
        <f t="array" ref="C56">IFS(D56="","", D56="A","NW", D56="B","NE", D56="C","SW", D56="D","SE",D56="Omit", "")</f>
        <v/>
      </c>
      <c r="D56" s="29" t="n"/>
      <c r="E56" s="30">
        <f>IF(D56="","",IF(D56="A","Correct","Incorrect"))</f>
        <v/>
      </c>
      <c r="F56" s="53" t="n"/>
      <c r="G56" s="48" t="n"/>
      <c r="H56" s="30">
        <f t="array" ref="H56">IF($G56="","",TEXTJOIN("",TRUE,MID($B56,MID($G56,SEQUENCE(LEN($G56),1),1)+0,1)))</f>
        <v/>
      </c>
      <c r="I56" s="48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</row>
    <row r="57" ht="14.25" customHeight="1" s="62">
      <c r="A57" s="29" t="n">
        <v>48</v>
      </c>
      <c r="B57" s="29" t="inlineStr">
        <is>
          <t>DABC</t>
        </is>
      </c>
      <c r="C57" s="47">
        <f t="array" ref="C57">IFS(D57="","", D57="A","SE", D57="B","NW", D57="C","NE", D57="D","SW",D57="Omit", "")</f>
        <v/>
      </c>
      <c r="D57" s="29" t="n"/>
      <c r="E57" s="30">
        <f>IF(D57="","",IF(D57="A","Correct","Incorrect"))</f>
        <v/>
      </c>
      <c r="F57" s="53" t="n"/>
      <c r="G57" s="48" t="n"/>
      <c r="H57" s="30">
        <f t="array" ref="H57">IF($G57="","",TEXTJOIN("",TRUE,MID($B57,MID($G57,SEQUENCE(LEN($G57),1),1)+0,1)))</f>
        <v/>
      </c>
      <c r="I57" s="48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</row>
    <row r="58" ht="14.25" customHeight="1" s="62">
      <c r="A58" s="29" t="n">
        <v>49</v>
      </c>
      <c r="B58" s="29" t="inlineStr">
        <is>
          <t>ABCD</t>
        </is>
      </c>
      <c r="C58" s="47">
        <f t="array" ref="C58">IFS(D58="","", D58="A","SW", D58="B","SE", D58="C","NW", D58="D","NE",D58="Omit", "")</f>
        <v/>
      </c>
      <c r="D58" s="29" t="n"/>
      <c r="E58" s="30">
        <f>IF(D58="","",IF(D58="A","Correct","Incorrect"))</f>
        <v/>
      </c>
      <c r="F58" s="53" t="n"/>
      <c r="G58" s="48" t="n"/>
      <c r="H58" s="30">
        <f t="array" ref="H58">IF($G58="","",TEXTJOIN("",TRUE,MID($B58,MID($G58,SEQUENCE(LEN($G58),1),1)+0,1)))</f>
        <v/>
      </c>
      <c r="I58" s="48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</row>
    <row r="59" ht="14.25" customHeight="1" s="62">
      <c r="A59" s="29" t="n">
        <v>50</v>
      </c>
      <c r="B59" s="29" t="inlineStr">
        <is>
          <t>BCDA</t>
        </is>
      </c>
      <c r="C59" s="47">
        <f t="array" ref="C59">IFS(D59="","", D59="A","NE", D59="B","SW", D59="C","SE", D59="D","NW",D59="Omit", "")</f>
        <v/>
      </c>
      <c r="D59" s="29" t="n"/>
      <c r="E59" s="30">
        <f>IF(D59="","",IF(D59="A","Correct","Incorrect"))</f>
        <v/>
      </c>
      <c r="F59" s="53" t="n"/>
      <c r="G59" s="48" t="n"/>
      <c r="H59" s="30">
        <f t="array" ref="H59">IF($G59="","",TEXTJOIN("",TRUE,MID($B59,MID($G59,SEQUENCE(LEN($G59),1),1)+0,1)))</f>
        <v/>
      </c>
      <c r="I59" s="48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</row>
    <row r="60" ht="14.25" customHeight="1" s="62">
      <c r="A60" s="29" t="n">
        <v>51</v>
      </c>
      <c r="B60" s="29" t="inlineStr">
        <is>
          <t>CDAB</t>
        </is>
      </c>
      <c r="C60" s="47">
        <f t="array" ref="C60">IFS(D60="","", D60="A","NW", D60="B","NE", D60="C","SW", D60="D","SE",D60="Omit", "")</f>
        <v/>
      </c>
      <c r="D60" s="29" t="n"/>
      <c r="E60" s="30">
        <f>IF(D60="","",IF(D60="A","Correct","Incorrect"))</f>
        <v/>
      </c>
      <c r="F60" s="53" t="n"/>
      <c r="G60" s="48" t="n"/>
      <c r="H60" s="30">
        <f t="array" ref="H60">IF($G60="","",TEXTJOIN("",TRUE,MID($B60,MID($G60,SEQUENCE(LEN($G60),1),1)+0,1)))</f>
        <v/>
      </c>
      <c r="I60" s="48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</row>
    <row r="61" ht="14.25" customHeight="1" s="62">
      <c r="A61" s="29" t="n">
        <v>52</v>
      </c>
      <c r="B61" s="29" t="inlineStr">
        <is>
          <t>DABC</t>
        </is>
      </c>
      <c r="C61" s="47">
        <f t="array" ref="C61">IFS(D61="","", D61="A","SE", D61="B","NW", D61="C","NE", D61="D","SW",D61="Omit", "")</f>
        <v/>
      </c>
      <c r="D61" s="29" t="n"/>
      <c r="E61" s="30">
        <f>IF(D61="","",IF(D61="A","Correct","Incorrect"))</f>
        <v/>
      </c>
      <c r="F61" s="53" t="n"/>
      <c r="G61" s="48" t="n"/>
      <c r="H61" s="30">
        <f t="array" ref="H61">IF($G61="","",TEXTJOIN("",TRUE,MID($B61,MID($G61,SEQUENCE(LEN($G61),1),1)+0,1)))</f>
        <v/>
      </c>
      <c r="I61" s="48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</row>
    <row r="62" ht="14.25" customHeight="1" s="62">
      <c r="A62" s="29" t="n">
        <v>53</v>
      </c>
      <c r="B62" s="29" t="inlineStr">
        <is>
          <t>ABCD</t>
        </is>
      </c>
      <c r="C62" s="47">
        <f t="array" ref="C62">IFS(D62="","", D62="A","SW", D62="B","SE", D62="C","NW", D62="D","NE",D62="Omit", "")</f>
        <v/>
      </c>
      <c r="D62" s="29" t="n"/>
      <c r="E62" s="30">
        <f>IF(D62="","",IF(D62="A","Correct","Incorrect"))</f>
        <v/>
      </c>
      <c r="F62" s="53" t="n"/>
      <c r="G62" s="48" t="n"/>
      <c r="H62" s="30">
        <f t="array" ref="H62">IF($G62="","",TEXTJOIN("",TRUE,MID($B62,MID($G62,SEQUENCE(LEN($G62),1),1)+0,1)))</f>
        <v/>
      </c>
      <c r="I62" s="48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</row>
    <row r="63" ht="14.25" customHeight="1" s="62">
      <c r="A63" s="29" t="n">
        <v>54</v>
      </c>
      <c r="B63" s="29" t="inlineStr">
        <is>
          <t>BCDA</t>
        </is>
      </c>
      <c r="C63" s="47">
        <f t="array" ref="C63">IFS(D63="","", D63="A","NE", D63="B","SW", D63="C","SE", D63="D","NW",D63="Omit", "")</f>
        <v/>
      </c>
      <c r="D63" s="29" t="n"/>
      <c r="E63" s="30">
        <f>IF(D63="","",IF(D63="A","Correct","Incorrect"))</f>
        <v/>
      </c>
      <c r="F63" s="53" t="n"/>
      <c r="G63" s="48" t="n"/>
      <c r="H63" s="30">
        <f t="array" ref="H63">IF($G63="","",TEXTJOIN("",TRUE,MID($B63,MID($G63,SEQUENCE(LEN($G63),1),1)+0,1)))</f>
        <v/>
      </c>
      <c r="I63" s="48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</row>
    <row r="64" ht="14.25" customHeight="1" s="62">
      <c r="A64" s="29" t="n">
        <v>55</v>
      </c>
      <c r="B64" s="29" t="inlineStr">
        <is>
          <t>CDAB</t>
        </is>
      </c>
      <c r="C64" s="47">
        <f t="array" ref="C64">IFS(D64="","", D64="A","NW", D64="B","NE", D64="C","SW", D64="D","SE",D64="Omit", "")</f>
        <v/>
      </c>
      <c r="D64" s="29" t="n"/>
      <c r="E64" s="30">
        <f>IF(D64="","",IF(D64="A","Correct","Incorrect"))</f>
        <v/>
      </c>
      <c r="F64" s="53" t="n"/>
      <c r="G64" s="48" t="n"/>
      <c r="H64" s="30">
        <f t="array" ref="H64">IF($G64="","",TEXTJOIN("",TRUE,MID($B64,MID($G64,SEQUENCE(LEN($G64),1),1)+0,1)))</f>
        <v/>
      </c>
      <c r="I64" s="48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</row>
    <row r="65" ht="14.25" customHeight="1" s="62">
      <c r="A65" s="29" t="n">
        <v>56</v>
      </c>
      <c r="B65" s="29" t="inlineStr">
        <is>
          <t>DABC</t>
        </is>
      </c>
      <c r="C65" s="47">
        <f t="array" ref="C65">IFS(D65="","", D65="A","SE", D65="B","NW", D65="C","NE", D65="D","SW",D65="Omit", "")</f>
        <v/>
      </c>
      <c r="D65" s="29" t="n"/>
      <c r="E65" s="30">
        <f>IF(D65="","",IF(D65="A","Correct","Incorrect"))</f>
        <v/>
      </c>
      <c r="F65" s="53" t="n"/>
      <c r="G65" s="48" t="n"/>
      <c r="H65" s="30">
        <f t="array" ref="H65">IF($G65="","",TEXTJOIN("",TRUE,MID($B65,MID($G65,SEQUENCE(LEN($G65),1),1)+0,1)))</f>
        <v/>
      </c>
      <c r="I65" s="48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</row>
    <row r="66" ht="14.25" customHeight="1" s="62">
      <c r="A66" s="29" t="n">
        <v>57</v>
      </c>
      <c r="B66" s="29" t="inlineStr">
        <is>
          <t>ABCD</t>
        </is>
      </c>
      <c r="C66" s="47">
        <f t="array" ref="C66">IFS(D66="","", D66="A","SW", D66="B","SE", D66="C","NW", D66="D","NE",D66="Omit", "")</f>
        <v/>
      </c>
      <c r="D66" s="29" t="n"/>
      <c r="E66" s="30">
        <f>IF(D66="","",IF(D66="A","Correct","Incorrect"))</f>
        <v/>
      </c>
      <c r="F66" s="53" t="n"/>
      <c r="G66" s="48" t="n"/>
      <c r="H66" s="30">
        <f t="array" ref="H66">IF($G66="","",TEXTJOIN("",TRUE,MID($B66,MID($G66,SEQUENCE(LEN($G66),1),1)+0,1)))</f>
        <v/>
      </c>
      <c r="I66" s="48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</row>
    <row r="67" ht="14.25" customHeight="1" s="62">
      <c r="A67" s="29" t="n">
        <v>58</v>
      </c>
      <c r="B67" s="29" t="inlineStr">
        <is>
          <t>BCDA</t>
        </is>
      </c>
      <c r="C67" s="47">
        <f t="array" ref="C67">IFS(D67="","", D67="A","NE", D67="B","SW", D67="C","SE", D67="D","NW",D67="Omit", "")</f>
        <v/>
      </c>
      <c r="D67" s="29" t="n"/>
      <c r="E67" s="30">
        <f>IF(D67="","",IF(D67="A","Correct","Incorrect"))</f>
        <v/>
      </c>
      <c r="F67" s="53" t="n"/>
      <c r="G67" s="48" t="n"/>
      <c r="H67" s="30">
        <f t="array" ref="H67">IF($G67="","",TEXTJOIN("",TRUE,MID($B67,MID($G67,SEQUENCE(LEN($G67),1),1)+0,1)))</f>
        <v/>
      </c>
      <c r="I67" s="48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</row>
    <row r="68" ht="14.25" customHeight="1" s="62">
      <c r="A68" s="29" t="n">
        <v>59</v>
      </c>
      <c r="B68" s="29" t="inlineStr">
        <is>
          <t>CDAB</t>
        </is>
      </c>
      <c r="C68" s="47">
        <f t="array" ref="C68">IFS(D68="","", D68="A","NW", D68="B","NE", D68="C","SW", D68="D","SE",D68="Omit", "")</f>
        <v/>
      </c>
      <c r="D68" s="29" t="n"/>
      <c r="E68" s="30">
        <f>IF(D68="","",IF(D68="A","Correct","Incorrect"))</f>
        <v/>
      </c>
      <c r="F68" s="53" t="n"/>
      <c r="G68" s="48" t="n"/>
      <c r="H68" s="30">
        <f t="array" ref="H68">IF($G68="","",TEXTJOIN("",TRUE,MID($B68,MID($G68,SEQUENCE(LEN($G68),1),1)+0,1)))</f>
        <v/>
      </c>
      <c r="I68" s="48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</row>
    <row r="69" ht="14.25" customHeight="1" s="62">
      <c r="A69" s="29" t="n">
        <v>60</v>
      </c>
      <c r="B69" s="29" t="inlineStr">
        <is>
          <t>DABC</t>
        </is>
      </c>
      <c r="C69" s="47">
        <f t="array" ref="C69">IFS(D69="","", D69="A","SE", D69="B","NW", D69="C","NE", D69="D","SW",D69="Omit", "")</f>
        <v/>
      </c>
      <c r="D69" s="29" t="n"/>
      <c r="E69" s="30">
        <f>IF(D69="","",IF(D69="A","Correct","Incorrect"))</f>
        <v/>
      </c>
      <c r="F69" s="53" t="n"/>
      <c r="G69" s="48" t="n"/>
      <c r="H69" s="30">
        <f t="array" ref="H69">IF($G69="","",TEXTJOIN("",TRUE,MID($B69,MID($G69,SEQUENCE(LEN($G69),1),1)+0,1)))</f>
        <v/>
      </c>
      <c r="I69" s="48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</row>
    <row r="70" ht="14.25" customHeight="1" s="62">
      <c r="A70" s="29" t="n">
        <v>61</v>
      </c>
      <c r="B70" s="29" t="inlineStr">
        <is>
          <t>ABCD</t>
        </is>
      </c>
      <c r="C70" s="47">
        <f t="array" ref="C70">IFS(D70="","", D70="A","NW", D70="B","NE", D70="C","SW", D70="D","SE",D70="Omit", "")</f>
        <v/>
      </c>
      <c r="D70" s="29" t="n"/>
      <c r="E70" s="30">
        <f>IF(D70="","",IF(D70="A","Correct","Incorrect"))</f>
        <v/>
      </c>
      <c r="F70" s="53" t="n"/>
      <c r="G70" s="48" t="n"/>
      <c r="H70" s="30">
        <f t="array" ref="H70">IF($G70="","",TEXTJOIN("",TRUE,MID($B70,MID($G70,SEQUENCE(LEN($G70),1),1)+0,1)))</f>
        <v/>
      </c>
      <c r="I70" s="48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</row>
    <row r="71" ht="14.25" customHeight="1" s="62">
      <c r="A71" s="29" t="n">
        <v>62</v>
      </c>
      <c r="B71" s="29" t="inlineStr">
        <is>
          <t>BCDA</t>
        </is>
      </c>
      <c r="C71" s="47">
        <f t="array" ref="C71">IFS(D71="","", D71="A","SE", D71="B","NW", D71="C","NE", D71="D","SW",D71="Omit", "")</f>
        <v/>
      </c>
      <c r="D71" s="29" t="n"/>
      <c r="E71" s="30">
        <f>IF(D71="","",IF(D71="A","Correct","Incorrect"))</f>
        <v/>
      </c>
      <c r="F71" s="53" t="n"/>
      <c r="G71" s="48" t="n"/>
      <c r="H71" s="30">
        <f t="array" ref="H71">IF($G71="","",TEXTJOIN("",TRUE,MID($B71,MID($G71,SEQUENCE(LEN($G71),1),1)+0,1)))</f>
        <v/>
      </c>
      <c r="I71" s="48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</row>
    <row r="72" ht="14.25" customHeight="1" s="62">
      <c r="A72" s="29" t="n">
        <v>63</v>
      </c>
      <c r="B72" s="29" t="inlineStr">
        <is>
          <t>CDAB</t>
        </is>
      </c>
      <c r="C72" s="47">
        <f t="array" ref="C72">IFS(D72="","", D72="A","SW", D72="B","SE", D72="C","NW", D72="D","NE",D72="Omit", "")</f>
        <v/>
      </c>
      <c r="D72" s="29" t="n"/>
      <c r="E72" s="30">
        <f>IF(D72="","",IF(D72="A","Correct","Incorrect"))</f>
        <v/>
      </c>
      <c r="F72" s="53" t="n"/>
      <c r="G72" s="48" t="n"/>
      <c r="H72" s="30">
        <f t="array" ref="H72">IF($G72="","",TEXTJOIN("",TRUE,MID($B72,MID($G72,SEQUENCE(LEN($G72),1),1)+0,1)))</f>
        <v/>
      </c>
      <c r="I72" s="48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</row>
    <row r="73" ht="14.25" customHeight="1" s="62">
      <c r="A73" s="29" t="n">
        <v>64</v>
      </c>
      <c r="B73" s="29" t="inlineStr">
        <is>
          <t>DABC</t>
        </is>
      </c>
      <c r="C73" s="47">
        <f t="array" ref="C73">IFS(D73="","", D73="A","NE", D73="B","SW", D73="C","SE", D73="D","NW",D73="Omit", "")</f>
        <v/>
      </c>
      <c r="D73" s="29" t="n"/>
      <c r="E73" s="30">
        <f>IF(D73="","",IF(D73="A","Correct","Incorrect"))</f>
        <v/>
      </c>
      <c r="F73" s="53" t="n"/>
      <c r="G73" s="48" t="n"/>
      <c r="H73" s="30">
        <f t="array" ref="H73">IF($G73="","",TEXTJOIN("",TRUE,MID($B73,MID($G73,SEQUENCE(LEN($G73),1),1)+0,1)))</f>
        <v/>
      </c>
      <c r="I73" s="48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</row>
    <row r="74" ht="14.25" customHeight="1" s="62">
      <c r="A74" s="29" t="n">
        <v>65</v>
      </c>
      <c r="B74" s="29" t="inlineStr">
        <is>
          <t>ABCD</t>
        </is>
      </c>
      <c r="C74" s="47">
        <f t="array" ref="C74">IFS(D74="","", D74="A","NW", D74="B","NE", D74="C","SW", D74="D","SE",D74="Omit", "")</f>
        <v/>
      </c>
      <c r="D74" s="29" t="n"/>
      <c r="E74" s="30">
        <f>IF(D74="","",IF(D74="A","Correct","Incorrect"))</f>
        <v/>
      </c>
      <c r="F74" s="53" t="n"/>
      <c r="G74" s="48" t="n"/>
      <c r="H74" s="30">
        <f t="array" ref="H74">IF($G74="","",TEXTJOIN("",TRUE,MID($B74,MID($G74,SEQUENCE(LEN($G74),1),1)+0,1)))</f>
        <v/>
      </c>
      <c r="I74" s="48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</row>
    <row r="75" ht="14.25" customHeight="1" s="62">
      <c r="A75" s="29" t="n">
        <v>66</v>
      </c>
      <c r="B75" s="29" t="inlineStr">
        <is>
          <t>BCDA</t>
        </is>
      </c>
      <c r="C75" s="47">
        <f t="array" ref="C75">IFS(D75="","", D75="A","SE", D75="B","NW", D75="C","NE", D75="D","SW",D75="Omit", "")</f>
        <v/>
      </c>
      <c r="D75" s="29" t="n"/>
      <c r="E75" s="30">
        <f>IF(D75="","",IF(D75="A","Correct","Incorrect"))</f>
        <v/>
      </c>
      <c r="F75" s="53" t="n"/>
      <c r="G75" s="48" t="n"/>
      <c r="H75" s="30">
        <f t="array" ref="H75">IF($G75="","",TEXTJOIN("",TRUE,MID($B75,MID($G75,SEQUENCE(LEN($G75),1),1)+0,1)))</f>
        <v/>
      </c>
      <c r="I75" s="48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</row>
    <row r="76" ht="14.25" customHeight="1" s="62">
      <c r="A76" s="29" t="n">
        <v>67</v>
      </c>
      <c r="B76" s="29" t="inlineStr">
        <is>
          <t>CDAB</t>
        </is>
      </c>
      <c r="C76" s="47">
        <f t="array" ref="C76">IFS(D76="","", D76="A","SW", D76="B","SE", D76="C","NW", D76="D","NE",D76="Omit", "")</f>
        <v/>
      </c>
      <c r="D76" s="29" t="n"/>
      <c r="E76" s="30">
        <f>IF(D76="","",IF(D76="A","Correct","Incorrect"))</f>
        <v/>
      </c>
      <c r="F76" s="53" t="n"/>
      <c r="G76" s="48" t="n"/>
      <c r="H76" s="30">
        <f t="array" ref="H76">IF($G76="","",TEXTJOIN("",TRUE,MID($B76,MID($G76,SEQUENCE(LEN($G76),1),1)+0,1)))</f>
        <v/>
      </c>
      <c r="I76" s="48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</row>
    <row r="77" ht="14.25" customHeight="1" s="62">
      <c r="A77" s="29" t="n">
        <v>68</v>
      </c>
      <c r="B77" s="29" t="inlineStr">
        <is>
          <t>DABC</t>
        </is>
      </c>
      <c r="C77" s="47">
        <f t="array" ref="C77">IFS(D77="","", D77="A","NE", D77="B","SW", D77="C","SE", D77="D","NW",D77="Omit", "")</f>
        <v/>
      </c>
      <c r="D77" s="29" t="n"/>
      <c r="E77" s="30">
        <f>IF(D77="","",IF(D77="A","Correct","Incorrect"))</f>
        <v/>
      </c>
      <c r="F77" s="53" t="n"/>
      <c r="G77" s="48" t="n"/>
      <c r="H77" s="30">
        <f t="array" ref="H77">IF($G77="","",TEXTJOIN("",TRUE,MID($B77,MID($G77,SEQUENCE(LEN($G77),1),1)+0,1)))</f>
        <v/>
      </c>
      <c r="I77" s="48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</row>
    <row r="78" ht="14.25" customHeight="1" s="62">
      <c r="A78" s="29" t="n">
        <v>69</v>
      </c>
      <c r="B78" s="29" t="inlineStr">
        <is>
          <t>ABCD</t>
        </is>
      </c>
      <c r="C78" s="47">
        <f t="array" ref="C78">IFS(D78="","", D78="A","NW", D78="B","NE", D78="C","SW", D78="D","SE",D78="Omit", "")</f>
        <v/>
      </c>
      <c r="D78" s="29" t="n"/>
      <c r="E78" s="30">
        <f>IF(D78="","",IF(D78="A","Correct","Incorrect"))</f>
        <v/>
      </c>
      <c r="F78" s="53" t="n"/>
      <c r="G78" s="48" t="n"/>
      <c r="H78" s="30">
        <f t="array" ref="H78">IF($G78="","",TEXTJOIN("",TRUE,MID($B78,MID($G78,SEQUENCE(LEN($G78),1),1)+0,1)))</f>
        <v/>
      </c>
      <c r="I78" s="48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</row>
    <row r="79" ht="14.25" customHeight="1" s="62">
      <c r="A79" s="29" t="n">
        <v>70</v>
      </c>
      <c r="B79" s="29" t="inlineStr">
        <is>
          <t>BCDA</t>
        </is>
      </c>
      <c r="C79" s="47">
        <f t="array" ref="C79">IFS(D79="","", D79="A","SE", D79="B","NW", D79="C","NE", D79="D","SW",D79="Omit", "")</f>
        <v/>
      </c>
      <c r="D79" s="29" t="n"/>
      <c r="E79" s="30">
        <f>IF(D79="","",IF(D79="A","Correct","Incorrect"))</f>
        <v/>
      </c>
      <c r="F79" s="53" t="n"/>
      <c r="G79" s="48" t="n"/>
      <c r="H79" s="30">
        <f t="array" ref="H79">IF($G79="","",TEXTJOIN("",TRUE,MID($B79,MID($G79,SEQUENCE(LEN($G79),1),1)+0,1)))</f>
        <v/>
      </c>
      <c r="I79" s="48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</row>
    <row r="80">
      <c r="A80" s="29" t="n">
        <v>71</v>
      </c>
      <c r="B80" s="29" t="inlineStr">
        <is>
          <t>CDAB</t>
        </is>
      </c>
      <c r="C80" s="47">
        <f t="array" ref="C80">IFS(D80="","", D80="A","SW", D80="B","SE", D80="C","NW", D80="D","NE",D80="Omit", "")</f>
        <v/>
      </c>
      <c r="D80" s="29" t="n"/>
      <c r="E80" s="30">
        <f>IF(D80="","",IF(D80="A","Correct","Incorrect"))</f>
        <v/>
      </c>
      <c r="F80" s="29" t="n"/>
      <c r="G80" s="29" t="n"/>
      <c r="H80" s="30">
        <f t="array" ref="H80">IF($G80="","",TEXTJOIN("",TRUE,MID($B80,MID($G80,SEQUENCE(LEN($G80),1),1)+0,1)))</f>
        <v/>
      </c>
      <c r="I80" s="29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</row>
    <row r="81">
      <c r="A81" s="29" t="n">
        <v>72</v>
      </c>
      <c r="B81" s="29" t="inlineStr">
        <is>
          <t>DABC</t>
        </is>
      </c>
      <c r="C81" s="47">
        <f t="array" ref="C81">IFS(D81="","", D81="A","NE", D81="B","SW", D81="C","SE", D81="D","NW",D81="Omit", "")</f>
        <v/>
      </c>
      <c r="D81" s="29" t="n"/>
      <c r="E81" s="30">
        <f>IF(D81="","",IF(D81="A","Correct","Incorrect"))</f>
        <v/>
      </c>
      <c r="F81" s="29" t="n"/>
      <c r="G81" s="29" t="n"/>
      <c r="H81" s="30">
        <f t="array" ref="H81">IF($G81="","",TEXTJOIN("",TRUE,MID($B81,MID($G81,SEQUENCE(LEN($G81),1),1)+0,1)))</f>
        <v/>
      </c>
      <c r="I81" s="29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</row>
    <row r="82">
      <c r="A82" s="29" t="n">
        <v>73</v>
      </c>
      <c r="B82" s="29" t="inlineStr">
        <is>
          <t>ABCD</t>
        </is>
      </c>
      <c r="C82" s="47">
        <f t="array" ref="C82">IFS(D82="","", D82="A","NW", D82="B","NE", D82="C","SW", D82="D","SE",D82="Omit", "")</f>
        <v/>
      </c>
      <c r="D82" s="29" t="n"/>
      <c r="E82" s="30">
        <f>IF(D82="","",IF(D82="A","Correct","Incorrect"))</f>
        <v/>
      </c>
      <c r="F82" s="29" t="n"/>
      <c r="G82" s="29" t="n"/>
      <c r="H82" s="30">
        <f t="array" ref="H82">IF($G82="","",TEXTJOIN("",TRUE,MID($B82,MID($G82,SEQUENCE(LEN($G82),1),1)+0,1)))</f>
        <v/>
      </c>
      <c r="I82" s="29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</row>
    <row r="83">
      <c r="A83" s="29" t="n">
        <v>74</v>
      </c>
      <c r="B83" s="29" t="inlineStr">
        <is>
          <t>BCDA</t>
        </is>
      </c>
      <c r="C83" s="47">
        <f t="array" ref="C83">IFS(D83="","", D83="A","SE", D83="B","NW", D83="C","NE", D83="D","SW",D83="Omit", "")</f>
        <v/>
      </c>
      <c r="D83" s="29" t="n"/>
      <c r="E83" s="30">
        <f>IF(D83="","",IF(D83="A","Correct","Incorrect"))</f>
        <v/>
      </c>
      <c r="F83" s="29" t="n"/>
      <c r="G83" s="29" t="n"/>
      <c r="H83" s="30">
        <f t="array" ref="H83">IF($G83="","",TEXTJOIN("",TRUE,MID($B83,MID($G83,SEQUENCE(LEN($G83),1),1)+0,1)))</f>
        <v/>
      </c>
      <c r="I83" s="29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</row>
    <row r="84">
      <c r="A84" s="29" t="n">
        <v>75</v>
      </c>
      <c r="B84" s="29" t="inlineStr">
        <is>
          <t>CDAB</t>
        </is>
      </c>
      <c r="C84" s="47">
        <f t="array" ref="C84">IFS(D84="","", D84="A","SW", D84="B","SE", D84="C","NW", D84="D","NE",D84="Omit", "")</f>
        <v/>
      </c>
      <c r="D84" s="29" t="n"/>
      <c r="E84" s="30">
        <f>IF(D84="","",IF(D84="A","Correct","Incorrect"))</f>
        <v/>
      </c>
      <c r="F84" s="29" t="n"/>
      <c r="G84" s="29" t="n"/>
      <c r="H84" s="30">
        <f t="array" ref="H84">IF($G84="","",TEXTJOIN("",TRUE,MID($B84,MID($G84,SEQUENCE(LEN($G84),1),1)+0,1)))</f>
        <v/>
      </c>
      <c r="I84" s="29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</row>
    <row r="85">
      <c r="A85" s="29" t="n">
        <v>76</v>
      </c>
      <c r="B85" s="29" t="inlineStr">
        <is>
          <t>DABC</t>
        </is>
      </c>
      <c r="C85" s="47">
        <f t="array" ref="C85">IFS(D85="","", D85="A","NE", D85="B","SW", D85="C","SE", D85="D","NW",D85="Omit", "")</f>
        <v/>
      </c>
      <c r="D85" s="29" t="n"/>
      <c r="E85" s="30">
        <f>IF(D85="","",IF(D85="A","Correct","Incorrect"))</f>
        <v/>
      </c>
      <c r="F85" s="29" t="n"/>
      <c r="G85" s="29" t="n"/>
      <c r="H85" s="30">
        <f t="array" ref="H85">IF($G85="","",TEXTJOIN("",TRUE,MID($B85,MID($G85,SEQUENCE(LEN($G85),1),1)+0,1)))</f>
        <v/>
      </c>
      <c r="I85" s="29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</row>
    <row r="86">
      <c r="A86" s="29" t="n">
        <v>77</v>
      </c>
      <c r="B86" s="29" t="inlineStr">
        <is>
          <t>ABCD</t>
        </is>
      </c>
      <c r="C86" s="47">
        <f t="array" ref="C86">IFS(D86="","", D86="A","NW", D86="B","NE", D86="C","SW", D86="D","SE",D86="Omit", "")</f>
        <v/>
      </c>
      <c r="D86" s="29" t="n"/>
      <c r="E86" s="30">
        <f>IF(D86="","",IF(D86="A","Correct","Incorrect"))</f>
        <v/>
      </c>
      <c r="F86" s="29" t="n"/>
      <c r="G86" s="29" t="n"/>
      <c r="H86" s="30">
        <f t="array" ref="H86">IF($G86="","",TEXTJOIN("",TRUE,MID($B86,MID($G86,SEQUENCE(LEN($G86),1),1)+0,1)))</f>
        <v/>
      </c>
      <c r="I86" s="29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</row>
    <row r="87">
      <c r="A87" s="29" t="n">
        <v>78</v>
      </c>
      <c r="B87" s="29" t="inlineStr">
        <is>
          <t>BCDA</t>
        </is>
      </c>
      <c r="C87" s="47">
        <f t="array" ref="C87">IFS(D87="","", D87="A","SE", D87="B","NW", D87="C","NE", D87="D","SW",D87="Omit", "")</f>
        <v/>
      </c>
      <c r="D87" s="29" t="n"/>
      <c r="E87" s="30">
        <f>IF(D87="","",IF(D87="A","Correct","Incorrect"))</f>
        <v/>
      </c>
      <c r="F87" s="29" t="n"/>
      <c r="G87" s="29" t="n"/>
      <c r="H87" s="30">
        <f t="array" ref="H87">IF($G87="","",TEXTJOIN("",TRUE,MID($B87,MID($G87,SEQUENCE(LEN($G87),1),1)+0,1)))</f>
        <v/>
      </c>
      <c r="I87" s="29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</row>
    <row r="88">
      <c r="A88" s="29" t="n">
        <v>79</v>
      </c>
      <c r="B88" s="29" t="inlineStr">
        <is>
          <t>CDAB</t>
        </is>
      </c>
      <c r="C88" s="47">
        <f t="array" ref="C88">IFS(D88="","", D88="A","SW", D88="B","SE", D88="C","NW", D88="D","NE",D88="Omit", "")</f>
        <v/>
      </c>
      <c r="D88" s="29" t="n"/>
      <c r="E88" s="30">
        <f>IF(D88="","",IF(D88="A","Correct","Incorrect"))</f>
        <v/>
      </c>
      <c r="F88" s="29" t="n"/>
      <c r="G88" s="29" t="n"/>
      <c r="H88" s="30">
        <f t="array" ref="H88">IF($G88="","",TEXTJOIN("",TRUE,MID($B88,MID($G88,SEQUENCE(LEN($G88),1),1)+0,1)))</f>
        <v/>
      </c>
      <c r="I88" s="29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</row>
    <row r="89">
      <c r="A89" s="29" t="n">
        <v>80</v>
      </c>
      <c r="B89" s="29" t="inlineStr">
        <is>
          <t>DABC</t>
        </is>
      </c>
      <c r="C89" s="47">
        <f t="array" ref="C89">IFS(D89="","", D89="A","NE", D89="B","SW", D89="C","SE", D89="D","NW",D89="Omit", "")</f>
        <v/>
      </c>
      <c r="D89" s="29" t="n"/>
      <c r="E89" s="30">
        <f>IF(D89="","",IF(D89="A","Correct","Incorrect"))</f>
        <v/>
      </c>
      <c r="F89" s="29" t="n"/>
      <c r="G89" s="29" t="n"/>
      <c r="H89" s="30">
        <f t="array" ref="H89">IF($G89="","",TEXTJOIN("",TRUE,MID($B89,MID($G89,SEQUENCE(LEN($G89),1),1)+0,1)))</f>
        <v/>
      </c>
      <c r="I89" s="29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</row>
    <row r="90">
      <c r="A90" s="29" t="n">
        <v>81</v>
      </c>
      <c r="B90" s="29" t="inlineStr">
        <is>
          <t>ABCD</t>
        </is>
      </c>
      <c r="C90" s="47">
        <f t="array" ref="C90">IFS(D90="","", D90="A","NW", D90="B","NE", D90="C","SW", D90="D","SE",D90="Omit", "")</f>
        <v/>
      </c>
      <c r="D90" s="29" t="n"/>
      <c r="E90" s="30">
        <f>IF(D90="","",IF(D90="A","Correct","Incorrect"))</f>
        <v/>
      </c>
      <c r="F90" s="29" t="n"/>
      <c r="G90" s="29" t="n"/>
      <c r="H90" s="30">
        <f t="array" ref="H90">IF($G90="","",TEXTJOIN("",TRUE,MID($B90,MID($G90,SEQUENCE(LEN($G90),1),1)+0,1)))</f>
        <v/>
      </c>
      <c r="I90" s="29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</row>
    <row r="91">
      <c r="A91" s="29" t="n">
        <v>82</v>
      </c>
      <c r="B91" s="29" t="inlineStr">
        <is>
          <t>BCDA</t>
        </is>
      </c>
      <c r="C91" s="47">
        <f t="array" ref="C91">IFS(D91="","", D91="A","SE", D91="B","NW", D91="C","NE", D91="D","SW",D91="Omit", "")</f>
        <v/>
      </c>
      <c r="D91" s="29" t="n"/>
      <c r="E91" s="30">
        <f>IF(D91="","",IF(D91="A","Correct","Incorrect"))</f>
        <v/>
      </c>
      <c r="F91" s="29" t="n"/>
      <c r="G91" s="29" t="n"/>
      <c r="H91" s="30">
        <f t="array" ref="H91">IF($G91="","",TEXTJOIN("",TRUE,MID($B91,MID($G91,SEQUENCE(LEN($G91),1),1)+0,1)))</f>
        <v/>
      </c>
      <c r="I91" s="29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</row>
    <row r="92">
      <c r="A92" s="29" t="n">
        <v>83</v>
      </c>
      <c r="B92" s="29" t="inlineStr">
        <is>
          <t>CDAB</t>
        </is>
      </c>
      <c r="C92" s="47">
        <f t="array" ref="C92">IFS(D92="","", D92="A","SW", D92="B","SE", D92="C","NW", D92="D","NE",D92="Omit", "")</f>
        <v/>
      </c>
      <c r="D92" s="29" t="n"/>
      <c r="E92" s="30">
        <f>IF(D92="","",IF(D92="A","Correct","Incorrect"))</f>
        <v/>
      </c>
      <c r="F92" s="29" t="n"/>
      <c r="G92" s="29" t="n"/>
      <c r="H92" s="30">
        <f t="array" ref="H92">IF($G92="","",TEXTJOIN("",TRUE,MID($B92,MID($G92,SEQUENCE(LEN($G92),1),1)+0,1)))</f>
        <v/>
      </c>
      <c r="I92" s="29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</row>
    <row r="93">
      <c r="A93" s="29" t="n">
        <v>84</v>
      </c>
      <c r="B93" s="29" t="inlineStr">
        <is>
          <t>DABC</t>
        </is>
      </c>
      <c r="C93" s="47">
        <f t="array" ref="C93">IFS(D93="","", D93="A","NE", D93="B","SW", D93="C","SE", D93="D","NW",D93="Omit", "")</f>
        <v/>
      </c>
      <c r="D93" s="29" t="n"/>
      <c r="E93" s="30">
        <f>IF(D93="","",IF(D93="A","Correct","Incorrect"))</f>
        <v/>
      </c>
      <c r="F93" s="29" t="n"/>
      <c r="G93" s="29" t="n"/>
      <c r="H93" s="30">
        <f t="array" ref="H93">IF($G93="","",TEXTJOIN("",TRUE,MID($B93,MID($G93,SEQUENCE(LEN($G93),1),1)+0,1)))</f>
        <v/>
      </c>
      <c r="I93" s="29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</row>
    <row r="94">
      <c r="A94" s="29" t="n">
        <v>85</v>
      </c>
      <c r="B94" s="29" t="inlineStr">
        <is>
          <t>ABCD</t>
        </is>
      </c>
      <c r="C94" s="47">
        <f t="array" ref="C94">IFS(D94="","", D94="A","NW", D94="B","NE", D94="C","SW", D94="D","SE",D94="Omit", "")</f>
        <v/>
      </c>
      <c r="D94" s="29" t="n"/>
      <c r="E94" s="30">
        <f>IF(D94="","",IF(D94="A","Correct","Incorrect"))</f>
        <v/>
      </c>
      <c r="F94" s="29" t="n"/>
      <c r="G94" s="29" t="n"/>
      <c r="H94" s="30">
        <f t="array" ref="H94">IF($G94="","",TEXTJOIN("",TRUE,MID($B94,MID($G94,SEQUENCE(LEN($G94),1),1)+0,1)))</f>
        <v/>
      </c>
      <c r="I94" s="29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</row>
    <row r="95">
      <c r="A95" s="29" t="n">
        <v>86</v>
      </c>
      <c r="B95" s="29" t="inlineStr">
        <is>
          <t>BCDA</t>
        </is>
      </c>
      <c r="C95" s="47">
        <f t="array" ref="C95">IFS(D95="","", D95="A","SE", D95="B","NW", D95="C","NE", D95="D","SW",D95="Omit", "")</f>
        <v/>
      </c>
      <c r="D95" s="29" t="n"/>
      <c r="E95" s="30">
        <f>IF(D95="","",IF(D95="A","Correct","Incorrect"))</f>
        <v/>
      </c>
      <c r="F95" s="29" t="n"/>
      <c r="G95" s="29" t="n"/>
      <c r="H95" s="30">
        <f t="array" ref="H95">IF($G95="","",TEXTJOIN("",TRUE,MID($B95,MID($G95,SEQUENCE(LEN($G95),1),1)+0,1)))</f>
        <v/>
      </c>
      <c r="I95" s="29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</row>
    <row r="96">
      <c r="A96" s="29" t="n">
        <v>87</v>
      </c>
      <c r="B96" s="29" t="inlineStr">
        <is>
          <t>CDAB</t>
        </is>
      </c>
      <c r="C96" s="47">
        <f t="array" ref="C96">IFS(D96="","", D96="A","SW", D96="B","SE", D96="C","NW", D96="D","NE",D96="Omit", "")</f>
        <v/>
      </c>
      <c r="D96" s="29" t="n"/>
      <c r="E96" s="30">
        <f>IF(D96="","",IF(D96="A","Correct","Incorrect"))</f>
        <v/>
      </c>
      <c r="F96" s="29" t="n"/>
      <c r="G96" s="29" t="n"/>
      <c r="H96" s="30">
        <f t="array" ref="H96">IF($G96="","",TEXTJOIN("",TRUE,MID($B96,MID($G96,SEQUENCE(LEN($G96),1),1)+0,1)))</f>
        <v/>
      </c>
      <c r="I96" s="29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</row>
    <row r="97">
      <c r="A97" s="29" t="n">
        <v>88</v>
      </c>
      <c r="B97" s="29" t="inlineStr">
        <is>
          <t>DABC</t>
        </is>
      </c>
      <c r="C97" s="47">
        <f t="array" ref="C97">IFS(D97="","", D97="A","NE", D97="B","SW", D97="C","SE", D97="D","NW",D97="Omit", "")</f>
        <v/>
      </c>
      <c r="D97" s="29" t="n"/>
      <c r="E97" s="30">
        <f>IF(D97="","",IF(D97="A","Correct","Incorrect"))</f>
        <v/>
      </c>
      <c r="F97" s="29" t="n"/>
      <c r="G97" s="29" t="n"/>
      <c r="H97" s="30">
        <f t="array" ref="H97">IF($G97="","",TEXTJOIN("",TRUE,MID($B97,MID($G97,SEQUENCE(LEN($G97),1),1)+0,1)))</f>
        <v/>
      </c>
      <c r="I97" s="29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</row>
    <row r="98">
      <c r="A98" s="29" t="n">
        <v>89</v>
      </c>
      <c r="B98" s="29" t="inlineStr">
        <is>
          <t>ABCD</t>
        </is>
      </c>
      <c r="C98" s="47">
        <f t="array" ref="C98">IFS(D98="","", D98="A","NW", D98="B","NE", D98="C","SW", D98="D","SE",D98="Omit", "")</f>
        <v/>
      </c>
      <c r="D98" s="29" t="n"/>
      <c r="E98" s="30">
        <f>IF(D98="","",IF(D98="A","Correct","Incorrect"))</f>
        <v/>
      </c>
      <c r="F98" s="29" t="n"/>
      <c r="G98" s="29" t="n"/>
      <c r="H98" s="30">
        <f t="array" ref="H98">IF($G98="","",TEXTJOIN("",TRUE,MID($B98,MID($G98,SEQUENCE(LEN($G98),1),1)+0,1)))</f>
        <v/>
      </c>
      <c r="I98" s="29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</row>
    <row r="99">
      <c r="A99" s="29" t="n">
        <v>90</v>
      </c>
      <c r="B99" s="29" t="inlineStr">
        <is>
          <t>BCDA</t>
        </is>
      </c>
      <c r="C99" s="47">
        <f t="array" ref="C99">IFS(D99="","", D99="A","SE", D99="B","NW", D99="C","NE", D99="D","SW",D99="Omit", "")</f>
        <v/>
      </c>
      <c r="D99" s="29" t="n"/>
      <c r="E99" s="30">
        <f>IF(D99="","",IF(D99="A","Correct","Incorrect"))</f>
        <v/>
      </c>
      <c r="F99" s="29" t="n"/>
      <c r="G99" s="29" t="n"/>
      <c r="H99" s="30">
        <f t="array" ref="H99">IF($G99="","",TEXTJOIN("",TRUE,MID($B99,MID($G99,SEQUENCE(LEN($G99),1),1)+0,1)))</f>
        <v/>
      </c>
      <c r="I99" s="29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</row>
    <row r="100">
      <c r="A100" s="29" t="n">
        <v>91</v>
      </c>
      <c r="B100" s="29" t="inlineStr">
        <is>
          <t>CDAB</t>
        </is>
      </c>
      <c r="C100" s="47">
        <f t="array" ref="C100">IFS(D100="","", D100="A","NW", D100="B","NE", D100="C","SW", D100="D","SE",D100="Omit", "")</f>
        <v/>
      </c>
      <c r="D100" s="29" t="n"/>
      <c r="E100" s="30">
        <f>IF(D100="","",IF(D100="A","Correct","Incorrect"))</f>
        <v/>
      </c>
      <c r="F100" s="29" t="n"/>
      <c r="G100" s="29" t="n"/>
      <c r="H100" s="30">
        <f t="array" ref="H100">IF($G100="","",TEXTJOIN("",TRUE,MID($B100,MID($G100,SEQUENCE(LEN($G100),1),1)+0,1)))</f>
        <v/>
      </c>
      <c r="I100" s="29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</row>
    <row r="101">
      <c r="A101" s="29" t="n">
        <v>92</v>
      </c>
      <c r="B101" s="29" t="inlineStr">
        <is>
          <t>DABC</t>
        </is>
      </c>
      <c r="C101" s="47">
        <f t="array" ref="C101">IFS(D101="","", D101="A","SE", D101="B","NW", D101="C","NE", D101="D","SW",D101="Omit", "")</f>
        <v/>
      </c>
      <c r="D101" s="29" t="n"/>
      <c r="E101" s="30">
        <f>IF(D101="","",IF(D101="A","Correct","Incorrect"))</f>
        <v/>
      </c>
      <c r="F101" s="29" t="n"/>
      <c r="G101" s="29" t="n"/>
      <c r="H101" s="30">
        <f t="array" ref="H101">IF($G101="","",TEXTJOIN("",TRUE,MID($B101,MID($G101,SEQUENCE(LEN($G101),1),1)+0,1)))</f>
        <v/>
      </c>
      <c r="I101" s="29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</row>
    <row r="102">
      <c r="A102" s="29" t="n">
        <v>93</v>
      </c>
      <c r="B102" s="29" t="inlineStr">
        <is>
          <t>ABCD</t>
        </is>
      </c>
      <c r="C102" s="47">
        <f t="array" ref="C102">IFS(D102="","", D102="A","SW", D102="B","SE", D102="C","NW", D102="D","NE",D102="Omit", "")</f>
        <v/>
      </c>
      <c r="D102" s="29" t="n"/>
      <c r="E102" s="30">
        <f>IF(D102="","",IF(D102="A","Correct","Incorrect"))</f>
        <v/>
      </c>
      <c r="F102" s="29" t="n"/>
      <c r="G102" s="29" t="n"/>
      <c r="H102" s="30">
        <f t="array" ref="H102">IF($G102="","",TEXTJOIN("",TRUE,MID($B102,MID($G102,SEQUENCE(LEN($G102),1),1)+0,1)))</f>
        <v/>
      </c>
      <c r="I102" s="29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</row>
    <row r="103">
      <c r="A103" s="29" t="n">
        <v>94</v>
      </c>
      <c r="B103" s="29" t="inlineStr">
        <is>
          <t>BCDA</t>
        </is>
      </c>
      <c r="C103" s="47">
        <f t="array" ref="C103">IFS(D103="","", D103="A","NE", D103="B","SW", D103="C","SE", D103="D","NW",D103="Omit", "")</f>
        <v/>
      </c>
      <c r="D103" s="29" t="n"/>
      <c r="E103" s="30">
        <f>IF(D103="","",IF(D103="A","Correct","Incorrect"))</f>
        <v/>
      </c>
      <c r="F103" s="29" t="n"/>
      <c r="G103" s="29" t="n"/>
      <c r="H103" s="30">
        <f t="array" ref="H103">IF($G103="","",TEXTJOIN("",TRUE,MID($B103,MID($G103,SEQUENCE(LEN($G103),1),1)+0,1)))</f>
        <v/>
      </c>
      <c r="I103" s="29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</row>
    <row r="104">
      <c r="A104" s="29" t="n">
        <v>95</v>
      </c>
      <c r="B104" s="29" t="inlineStr">
        <is>
          <t>CDAB</t>
        </is>
      </c>
      <c r="C104" s="47">
        <f t="array" ref="C104">IFS(D104="","", D104="A","NW", D104="B","NE", D104="C","SW", D104="D","SE",D104="Omit", "")</f>
        <v/>
      </c>
      <c r="D104" s="29" t="n"/>
      <c r="E104" s="30">
        <f>IF(D104="","",IF(D104="A","Correct","Incorrect"))</f>
        <v/>
      </c>
      <c r="F104" s="29" t="n"/>
      <c r="G104" s="29" t="n"/>
      <c r="H104" s="30">
        <f t="array" ref="H104">IF($G104="","",TEXTJOIN("",TRUE,MID($B104,MID($G104,SEQUENCE(LEN($G104),1),1)+0,1)))</f>
        <v/>
      </c>
      <c r="I104" s="29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</row>
    <row r="105">
      <c r="A105" s="29" t="n">
        <v>96</v>
      </c>
      <c r="B105" s="29" t="inlineStr">
        <is>
          <t>DABC</t>
        </is>
      </c>
      <c r="C105" s="47">
        <f t="array" ref="C105">IFS(D105="","", D105="A","SE", D105="B","NW", D105="C","NE", D105="D","SW",D105="Omit", "")</f>
        <v/>
      </c>
      <c r="D105" s="29" t="n"/>
      <c r="E105" s="30">
        <f>IF(D105="","",IF(D105="A","Correct","Incorrect"))</f>
        <v/>
      </c>
      <c r="F105" s="29" t="n"/>
      <c r="G105" s="29" t="n"/>
      <c r="H105" s="30">
        <f t="array" ref="H105">IF($G105="","",TEXTJOIN("",TRUE,MID($B105,MID($G105,SEQUENCE(LEN($G105),1),1)+0,1)))</f>
        <v/>
      </c>
      <c r="I105" s="29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</row>
    <row r="106">
      <c r="A106" s="29" t="n">
        <v>97</v>
      </c>
      <c r="B106" s="29" t="inlineStr">
        <is>
          <t>ABCD</t>
        </is>
      </c>
      <c r="C106" s="47">
        <f t="array" ref="C106">IFS(D106="","", D106="A","SW", D106="B","SE", D106="C","NW", D106="D","NE",D106="Omit", "")</f>
        <v/>
      </c>
      <c r="D106" s="29" t="n"/>
      <c r="E106" s="30">
        <f>IF(D106="","",IF(D106="A","Correct","Incorrect"))</f>
        <v/>
      </c>
      <c r="F106" s="29" t="n"/>
      <c r="G106" s="29" t="n"/>
      <c r="H106" s="30">
        <f t="array" ref="H106">IF($G106="","",TEXTJOIN("",TRUE,MID($B106,MID($G106,SEQUENCE(LEN($G106),1),1)+0,1)))</f>
        <v/>
      </c>
      <c r="I106" s="29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</row>
    <row r="107">
      <c r="A107" s="29" t="n">
        <v>98</v>
      </c>
      <c r="B107" s="29" t="inlineStr">
        <is>
          <t>BCDA</t>
        </is>
      </c>
      <c r="C107" s="47">
        <f t="array" ref="C107">IFS(D107="","", D107="A","NE", D107="B","SW", D107="C","SE", D107="D","NW",D107="Omit", "")</f>
        <v/>
      </c>
      <c r="D107" s="29" t="n"/>
      <c r="E107" s="30">
        <f>IF(D107="","",IF(D107="A","Correct","Incorrect"))</f>
        <v/>
      </c>
      <c r="F107" s="29" t="n"/>
      <c r="G107" s="29" t="n"/>
      <c r="H107" s="30">
        <f t="array" ref="H107">IF($G107="","",TEXTJOIN("",TRUE,MID($B107,MID($G107,SEQUENCE(LEN($G107),1),1)+0,1)))</f>
        <v/>
      </c>
      <c r="I107" s="29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</row>
    <row r="108">
      <c r="A108" s="29" t="n">
        <v>99</v>
      </c>
      <c r="B108" s="29" t="inlineStr">
        <is>
          <t>CDAB</t>
        </is>
      </c>
      <c r="C108" s="47">
        <f t="array" ref="C108">IFS(D108="","", D108="A","NW", D108="B","NE", D108="C","SW", D108="D","SE",D108="Omit", "")</f>
        <v/>
      </c>
      <c r="D108" s="29" t="n"/>
      <c r="E108" s="30">
        <f>IF(D108="","",IF(D108="A","Correct","Incorrect"))</f>
        <v/>
      </c>
      <c r="F108" s="29" t="n"/>
      <c r="G108" s="29" t="n"/>
      <c r="H108" s="30">
        <f t="array" ref="H108">IF($G108="","",TEXTJOIN("",TRUE,MID($B108,MID($G108,SEQUENCE(LEN($G108),1),1)+0,1)))</f>
        <v/>
      </c>
      <c r="I108" s="29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</row>
    <row r="109">
      <c r="A109" s="29" t="n">
        <v>100</v>
      </c>
      <c r="B109" s="29" t="inlineStr">
        <is>
          <t>DABC</t>
        </is>
      </c>
      <c r="C109" s="47">
        <f t="array" ref="C109">IFS(D109="","", D109="A","SE", D109="B","NW", D109="C","NE", D109="D","SW",D109="Omit", "")</f>
        <v/>
      </c>
      <c r="D109" s="29" t="n"/>
      <c r="E109" s="30">
        <f>IF(D109="","",IF(D109="A","Correct","Incorrect"))</f>
        <v/>
      </c>
      <c r="F109" s="29" t="n"/>
      <c r="G109" s="29" t="n"/>
      <c r="H109" s="30">
        <f t="array" ref="H109">IF($G109="","",TEXTJOIN("",TRUE,MID($B109,MID($G109,SEQUENCE(LEN($G109),1),1)+0,1)))</f>
        <v/>
      </c>
      <c r="I109" s="29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</row>
    <row r="110">
      <c r="A110" s="29" t="n">
        <v>101</v>
      </c>
      <c r="B110" s="29" t="inlineStr">
        <is>
          <t>ABCD</t>
        </is>
      </c>
      <c r="C110" s="47">
        <f t="array" ref="C110">IFS(D110="","", D110="A","SW", D110="B","SE", D110="C","NW", D110="D","NE",D110="Omit", "")</f>
        <v/>
      </c>
      <c r="D110" s="29" t="n"/>
      <c r="E110" s="30">
        <f>IF(D110="","",IF(D110="A","Correct","Incorrect"))</f>
        <v/>
      </c>
      <c r="F110" s="29" t="n"/>
      <c r="G110" s="29" t="n"/>
      <c r="H110" s="30">
        <f t="array" ref="H110">IF($G110="","",TEXTJOIN("",TRUE,MID($B110,MID($G110,SEQUENCE(LEN($G110),1),1)+0,1)))</f>
        <v/>
      </c>
      <c r="I110" s="29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</row>
    <row r="111">
      <c r="A111" s="29" t="n">
        <v>102</v>
      </c>
      <c r="B111" s="29" t="inlineStr">
        <is>
          <t>BCDA</t>
        </is>
      </c>
      <c r="C111" s="47">
        <f t="array" ref="C111">IFS(D111="","", D111="A","NE", D111="B","SW", D111="C","SE", D111="D","NW",D111="Omit", "")</f>
        <v/>
      </c>
      <c r="D111" s="29" t="n"/>
      <c r="E111" s="30">
        <f>IF(D111="","",IF(D111="A","Correct","Incorrect"))</f>
        <v/>
      </c>
      <c r="F111" s="29" t="n"/>
      <c r="G111" s="29" t="n"/>
      <c r="H111" s="30">
        <f t="array" ref="H111">IF($G111="","",TEXTJOIN("",TRUE,MID($B111,MID($G111,SEQUENCE(LEN($G111),1),1)+0,1)))</f>
        <v/>
      </c>
      <c r="I111" s="29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</row>
    <row r="112">
      <c r="A112" s="29" t="n">
        <v>103</v>
      </c>
      <c r="B112" s="29" t="inlineStr">
        <is>
          <t>CDAB</t>
        </is>
      </c>
      <c r="C112" s="47">
        <f t="array" ref="C112">IFS(D112="","", D112="A","NW", D112="B","NE", D112="C","SW", D112="D","SE",D112="Omit", "")</f>
        <v/>
      </c>
      <c r="D112" s="29" t="n"/>
      <c r="E112" s="30">
        <f>IF(D112="","",IF(D112="A","Correct","Incorrect"))</f>
        <v/>
      </c>
      <c r="F112" s="29" t="n"/>
      <c r="G112" s="29" t="n"/>
      <c r="H112" s="30">
        <f t="array" ref="H112">IF($G112="","",TEXTJOIN("",TRUE,MID($B112,MID($G112,SEQUENCE(LEN($G112),1),1)+0,1)))</f>
        <v/>
      </c>
      <c r="I112" s="29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</row>
    <row r="113">
      <c r="A113" s="29" t="n">
        <v>104</v>
      </c>
      <c r="B113" s="29" t="inlineStr">
        <is>
          <t>DABC</t>
        </is>
      </c>
      <c r="C113" s="47">
        <f t="array" ref="C113">IFS(D113="","", D113="A","SE", D113="B","NW", D113="C","NE", D113="D","SW",D113="Omit", "")</f>
        <v/>
      </c>
      <c r="D113" s="29" t="n"/>
      <c r="E113" s="30">
        <f>IF(D113="","",IF(D113="A","Correct","Incorrect"))</f>
        <v/>
      </c>
      <c r="F113" s="29" t="n"/>
      <c r="G113" s="29" t="n"/>
      <c r="H113" s="30">
        <f t="array" ref="H113">IF($G113="","",TEXTJOIN("",TRUE,MID($B113,MID($G113,SEQUENCE(LEN($G113),1),1)+0,1)))</f>
        <v/>
      </c>
      <c r="I113" s="29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</row>
    <row r="114">
      <c r="A114" s="29" t="n">
        <v>105</v>
      </c>
      <c r="B114" s="29" t="inlineStr">
        <is>
          <t>ABCD</t>
        </is>
      </c>
      <c r="C114" s="47">
        <f t="array" ref="C114">IFS(D114="","", D114="A","SW", D114="B","SE", D114="C","NW", D114="D","NE",D114="Omit", "")</f>
        <v/>
      </c>
      <c r="D114" s="29" t="n"/>
      <c r="E114" s="30">
        <f>IF(D114="","",IF(D114="A","Correct","Incorrect"))</f>
        <v/>
      </c>
      <c r="F114" s="29" t="n"/>
      <c r="G114" s="29" t="n"/>
      <c r="H114" s="30">
        <f t="array" ref="H114">IF($G114="","",TEXTJOIN("",TRUE,MID($B114,MID($G114,SEQUENCE(LEN($G114),1),1)+0,1)))</f>
        <v/>
      </c>
      <c r="I114" s="29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</row>
    <row r="115">
      <c r="A115" s="29" t="n">
        <v>106</v>
      </c>
      <c r="B115" s="29" t="inlineStr">
        <is>
          <t>BCDA</t>
        </is>
      </c>
      <c r="C115" s="47">
        <f t="array" ref="C115">IFS(D115="","", D115="A","NE", D115="B","SW", D115="C","SE", D115="D","NW",D115="Omit", "")</f>
        <v/>
      </c>
      <c r="D115" s="29" t="n"/>
      <c r="E115" s="30">
        <f>IF(D115="","",IF(D115="A","Correct","Incorrect"))</f>
        <v/>
      </c>
      <c r="F115" s="29" t="n"/>
      <c r="G115" s="29" t="n"/>
      <c r="H115" s="30">
        <f t="array" ref="H115">IF($G115="","",TEXTJOIN("",TRUE,MID($B115,MID($G115,SEQUENCE(LEN($G115),1),1)+0,1)))</f>
        <v/>
      </c>
      <c r="I115" s="29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</row>
    <row r="116">
      <c r="A116" s="29" t="n">
        <v>107</v>
      </c>
      <c r="B116" s="29" t="inlineStr">
        <is>
          <t>CDAB</t>
        </is>
      </c>
      <c r="C116" s="47">
        <f t="array" ref="C116">IFS(D116="","", D116="A","NW", D116="B","NE", D116="C","SW", D116="D","SE",D116="Omit", "")</f>
        <v/>
      </c>
      <c r="D116" s="29" t="n"/>
      <c r="E116" s="30">
        <f>IF(D116="","",IF(D116="A","Correct","Incorrect"))</f>
        <v/>
      </c>
      <c r="F116" s="29" t="n"/>
      <c r="G116" s="29" t="n"/>
      <c r="H116" s="30">
        <f t="array" ref="H116">IF($G116="","",TEXTJOIN("",TRUE,MID($B116,MID($G116,SEQUENCE(LEN($G116),1),1)+0,1)))</f>
        <v/>
      </c>
      <c r="I116" s="29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</row>
    <row r="117">
      <c r="A117" s="29" t="n">
        <v>108</v>
      </c>
      <c r="B117" s="29" t="inlineStr">
        <is>
          <t>DABC</t>
        </is>
      </c>
      <c r="C117" s="47">
        <f t="array" ref="C117">IFS(D117="","", D117="A","SE", D117="B","NW", D117="C","NE", D117="D","SW",D117="Omit", "")</f>
        <v/>
      </c>
      <c r="D117" s="29" t="n"/>
      <c r="E117" s="30">
        <f>IF(D117="","",IF(D117="A","Correct","Incorrect"))</f>
        <v/>
      </c>
      <c r="F117" s="29" t="n"/>
      <c r="G117" s="29" t="n"/>
      <c r="H117" s="30">
        <f t="array" ref="H117">IF($G117="","",TEXTJOIN("",TRUE,MID($B117,MID($G117,SEQUENCE(LEN($G117),1),1)+0,1)))</f>
        <v/>
      </c>
      <c r="I117" s="29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</row>
    <row r="118">
      <c r="A118" s="29" t="n">
        <v>109</v>
      </c>
      <c r="B118" s="29" t="inlineStr">
        <is>
          <t>ABCD</t>
        </is>
      </c>
      <c r="C118" s="47">
        <f t="array" ref="C118">IFS(D118="","", D118="A","SW", D118="B","SE", D118="C","NW", D118="D","NE",D118="Omit", "")</f>
        <v/>
      </c>
      <c r="D118" s="29" t="n"/>
      <c r="E118" s="30">
        <f>IF(D118="","",IF(D118="A","Correct","Incorrect"))</f>
        <v/>
      </c>
      <c r="F118" s="29" t="n"/>
      <c r="G118" s="29" t="n"/>
      <c r="H118" s="30">
        <f t="array" ref="H118">IF($G118="","",TEXTJOIN("",TRUE,MID($B118,MID($G118,SEQUENCE(LEN($G118),1),1)+0,1)))</f>
        <v/>
      </c>
      <c r="I118" s="29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</row>
    <row r="119">
      <c r="A119" s="29" t="n">
        <v>110</v>
      </c>
      <c r="B119" s="29" t="inlineStr">
        <is>
          <t>BCDA</t>
        </is>
      </c>
      <c r="C119" s="47">
        <f t="array" ref="C119">IFS(D119="","", D119="A","NE", D119="B","SW", D119="C","SE", D119="D","NW",D119="Omit", "")</f>
        <v/>
      </c>
      <c r="D119" s="29" t="n"/>
      <c r="E119" s="30">
        <f>IF(D119="","",IF(D119="A","Correct","Incorrect"))</f>
        <v/>
      </c>
      <c r="F119" s="29" t="n"/>
      <c r="G119" s="29" t="n"/>
      <c r="H119" s="30">
        <f t="array" ref="H119">IF($G119="","",TEXTJOIN("",TRUE,MID($B119,MID($G119,SEQUENCE(LEN($G119),1),1)+0,1)))</f>
        <v/>
      </c>
      <c r="I119" s="29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</row>
    <row r="120">
      <c r="A120" s="29" t="n">
        <v>111</v>
      </c>
      <c r="B120" s="29" t="inlineStr">
        <is>
          <t>CDAB</t>
        </is>
      </c>
      <c r="C120" s="47">
        <f t="array" ref="C120">IFS(D120="","", D120="A","NW", D120="B","NE", D120="C","SW", D120="D","SE",D120="Omit", "")</f>
        <v/>
      </c>
      <c r="D120" s="29" t="n"/>
      <c r="E120" s="30">
        <f>IF(D120="","",IF(D120="A","Correct","Incorrect"))</f>
        <v/>
      </c>
      <c r="F120" s="29" t="n"/>
      <c r="G120" s="29" t="n"/>
      <c r="H120" s="30">
        <f t="array" ref="H120">IF($G120="","",TEXTJOIN("",TRUE,MID($B120,MID($G120,SEQUENCE(LEN($G120),1),1)+0,1)))</f>
        <v/>
      </c>
      <c r="I120" s="29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</row>
    <row r="121">
      <c r="A121" s="29" t="n">
        <v>112</v>
      </c>
      <c r="B121" s="29" t="inlineStr">
        <is>
          <t>DABC</t>
        </is>
      </c>
      <c r="C121" s="47">
        <f t="array" ref="C121">IFS(D121="","", D121="A","SE", D121="B","NW", D121="C","NE", D121="D","SW",D121="Omit", "")</f>
        <v/>
      </c>
      <c r="D121" s="29" t="n"/>
      <c r="E121" s="30">
        <f>IF(D121="","",IF(D121="A","Correct","Incorrect"))</f>
        <v/>
      </c>
      <c r="F121" s="29" t="n"/>
      <c r="G121" s="29" t="n"/>
      <c r="H121" s="30">
        <f t="array" ref="H121">IF($G121="","",TEXTJOIN("",TRUE,MID($B121,MID($G121,SEQUENCE(LEN($G121),1),1)+0,1)))</f>
        <v/>
      </c>
      <c r="I121" s="29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</row>
    <row r="122">
      <c r="A122" s="29" t="n">
        <v>113</v>
      </c>
      <c r="B122" s="29" t="inlineStr">
        <is>
          <t>ABCD</t>
        </is>
      </c>
      <c r="C122" s="47">
        <f t="array" ref="C122">IFS(D122="","", D122="A","SW", D122="B","SE", D122="C","NW", D122="D","NE",D122="Omit", "")</f>
        <v/>
      </c>
      <c r="D122" s="29" t="n"/>
      <c r="E122" s="30">
        <f>IF(D122="","",IF(D122="A","Correct","Incorrect"))</f>
        <v/>
      </c>
      <c r="F122" s="29" t="n"/>
      <c r="G122" s="29" t="n"/>
      <c r="H122" s="30">
        <f t="array" ref="H122">IF($G122="","",TEXTJOIN("",TRUE,MID($B122,MID($G122,SEQUENCE(LEN($G122),1),1)+0,1)))</f>
        <v/>
      </c>
      <c r="I122" s="29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</row>
    <row r="123">
      <c r="A123" s="29" t="n">
        <v>114</v>
      </c>
      <c r="B123" s="29" t="inlineStr">
        <is>
          <t>BCDA</t>
        </is>
      </c>
      <c r="C123" s="47">
        <f t="array" ref="C123">IFS(D123="","", D123="A","NE", D123="B","SW", D123="C","SE", D123="D","NW",D123="Omit", "")</f>
        <v/>
      </c>
      <c r="D123" s="29" t="n"/>
      <c r="E123" s="30">
        <f>IF(D123="","",IF(D123="A","Correct","Incorrect"))</f>
        <v/>
      </c>
      <c r="F123" s="29" t="n"/>
      <c r="G123" s="29" t="n"/>
      <c r="H123" s="30">
        <f t="array" ref="H123">IF($G123="","",TEXTJOIN("",TRUE,MID($B123,MID($G123,SEQUENCE(LEN($G123),1),1)+0,1)))</f>
        <v/>
      </c>
      <c r="I123" s="29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</row>
    <row r="124">
      <c r="A124" s="29" t="n">
        <v>115</v>
      </c>
      <c r="B124" s="29" t="inlineStr">
        <is>
          <t>CDAB</t>
        </is>
      </c>
      <c r="C124" s="47">
        <f t="array" ref="C124">IFS(D124="","", D124="A","NW", D124="B","NE", D124="C","SW", D124="D","SE",D124="Omit", "")</f>
        <v/>
      </c>
      <c r="D124" s="29" t="n"/>
      <c r="E124" s="30">
        <f>IF(D124="","",IF(D124="A","Correct","Incorrect"))</f>
        <v/>
      </c>
      <c r="F124" s="29" t="n"/>
      <c r="G124" s="29" t="n"/>
      <c r="H124" s="30">
        <f t="array" ref="H124">IF($G124="","",TEXTJOIN("",TRUE,MID($B124,MID($G124,SEQUENCE(LEN($G124),1),1)+0,1)))</f>
        <v/>
      </c>
      <c r="I124" s="29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</row>
    <row r="125">
      <c r="A125" s="29" t="n">
        <v>116</v>
      </c>
      <c r="B125" s="29" t="inlineStr">
        <is>
          <t>DABC</t>
        </is>
      </c>
      <c r="C125" s="47">
        <f t="array" ref="C125">IFS(D125="","", D125="A","SE", D125="B","NW", D125="C","NE", D125="D","SW",D125="Omit", "")</f>
        <v/>
      </c>
      <c r="D125" s="29" t="n"/>
      <c r="E125" s="30">
        <f>IF(D125="","",IF(D125="A","Correct","Incorrect"))</f>
        <v/>
      </c>
      <c r="F125" s="29" t="n"/>
      <c r="G125" s="29" t="n"/>
      <c r="H125" s="30">
        <f t="array" ref="H125">IF($G125="","",TEXTJOIN("",TRUE,MID($B125,MID($G125,SEQUENCE(LEN($G125),1),1)+0,1)))</f>
        <v/>
      </c>
      <c r="I125" s="29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</row>
    <row r="126">
      <c r="A126" s="29" t="n">
        <v>117</v>
      </c>
      <c r="B126" s="29" t="inlineStr">
        <is>
          <t>ABCD</t>
        </is>
      </c>
      <c r="C126" s="47">
        <f t="array" ref="C126">IFS(D126="","", D126="A","SW", D126="B","SE", D126="C","NW", D126="D","NE",D126="Omit", "")</f>
        <v/>
      </c>
      <c r="D126" s="29" t="n"/>
      <c r="E126" s="30">
        <f>IF(D126="","",IF(D126="A","Correct","Incorrect"))</f>
        <v/>
      </c>
      <c r="F126" s="29" t="n"/>
      <c r="G126" s="29" t="n"/>
      <c r="H126" s="30">
        <f t="array" ref="H126">IF($G126="","",TEXTJOIN("",TRUE,MID($B126,MID($G126,SEQUENCE(LEN($G126),1),1)+0,1)))</f>
        <v/>
      </c>
      <c r="I126" s="29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</row>
    <row r="127">
      <c r="A127" s="29" t="n">
        <v>118</v>
      </c>
      <c r="B127" s="29" t="inlineStr">
        <is>
          <t>BCDA</t>
        </is>
      </c>
      <c r="C127" s="47">
        <f t="array" ref="C127">IFS(D127="","", D127="A","NE", D127="B","SW", D127="C","SE", D127="D","NW",D127="Omit", "")</f>
        <v/>
      </c>
      <c r="D127" s="29" t="n"/>
      <c r="E127" s="30">
        <f>IF(D127="","",IF(D127="A","Correct","Incorrect"))</f>
        <v/>
      </c>
      <c r="F127" s="29" t="n"/>
      <c r="G127" s="29" t="n"/>
      <c r="H127" s="30">
        <f t="array" ref="H127">IF($G127="","",TEXTJOIN("",TRUE,MID($B127,MID($G127,SEQUENCE(LEN($G127),1),1)+0,1)))</f>
        <v/>
      </c>
      <c r="I127" s="29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</row>
    <row r="128">
      <c r="A128" s="29" t="n">
        <v>119</v>
      </c>
      <c r="B128" s="29" t="inlineStr">
        <is>
          <t>CDAB</t>
        </is>
      </c>
      <c r="C128" s="47">
        <f t="array" ref="C128">IFS(D128="","", D128="A","NW", D128="B","NE", D128="C","SW", D128="D","SE",D128="Omit", "")</f>
        <v/>
      </c>
      <c r="D128" s="29" t="n"/>
      <c r="E128" s="30">
        <f>IF(D128="","",IF(D128="A","Correct","Incorrect"))</f>
        <v/>
      </c>
      <c r="F128" s="29" t="n"/>
      <c r="G128" s="29" t="n"/>
      <c r="H128" s="30">
        <f t="array" ref="H128">IF($G128="","",TEXTJOIN("",TRUE,MID($B128,MID($G128,SEQUENCE(LEN($G128),1),1)+0,1)))</f>
        <v/>
      </c>
      <c r="I128" s="29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</row>
    <row r="129">
      <c r="A129" s="29" t="n">
        <v>120</v>
      </c>
      <c r="B129" s="29" t="inlineStr">
        <is>
          <t>DABC</t>
        </is>
      </c>
      <c r="C129" s="47">
        <f t="array" ref="C129">IFS(D129="","", D129="A","SE", D129="B","NW", D129="C","NE", D129="D","SW",D129="Omit", "")</f>
        <v/>
      </c>
      <c r="D129" s="29" t="n"/>
      <c r="E129" s="30">
        <f>IF(D129="","",IF(D129="A","Correct","Incorrect"))</f>
        <v/>
      </c>
      <c r="F129" s="29" t="n"/>
      <c r="G129" s="29" t="n"/>
      <c r="H129" s="30">
        <f t="array" ref="H129">IF($G129="","",TEXTJOIN("",TRUE,MID($B129,MID($G129,SEQUENCE(LEN($G129),1),1)+0,1)))</f>
        <v/>
      </c>
      <c r="I129" s="29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</row>
  </sheetData>
  <mergeCells count="1">
    <mergeCell ref="A1:I1"/>
  </mergeCells>
  <conditionalFormatting sqref="E10:E129">
    <cfRule type="cellIs" priority="1" operator="equal" dxfId="0">
      <formula>"Correct"</formula>
    </cfRule>
    <cfRule type="cellIs" priority="2" operator="equal" dxfId="1">
      <formula>"Incorrect"</formula>
    </cfRule>
  </conditionalFormatting>
  <dataValidations count="1">
    <dataValidation sqref="D40:D129" showDropDown="0" showInputMessage="1" showErrorMessage="1" allowBlank="1" prompt="Click and enter a value from the list of items" type="list">
      <formula1>"A,B,C,D,Omit"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29"/>
  <sheetViews>
    <sheetView workbookViewId="0">
      <selection activeCell="A1" sqref="A1"/>
    </sheetView>
  </sheetViews>
  <sheetFormatPr baseColWidth="8" defaultColWidth="12.63" defaultRowHeight="15" customHeight="1"/>
  <cols>
    <col width="18.88" customWidth="1" style="62" min="1" max="6"/>
    <col width="25.5" customWidth="1" style="62" min="7" max="8"/>
    <col width="18.88" customWidth="1" style="62" min="9" max="9"/>
  </cols>
  <sheetData>
    <row r="1" ht="30" customHeight="1" s="62">
      <c r="A1" s="64" t="inlineStr">
        <is>
          <t>SECTION 7 — Day 6: Testing (Recall)</t>
        </is>
      </c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4.25" customHeight="1" s="6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4.25" customHeight="1" s="62">
      <c r="A3" s="6" t="inlineStr">
        <is>
          <t>Experimenter:</t>
        </is>
      </c>
      <c r="B3" s="29" t="inlineStr">
        <is>
          <t>Winnie Chao</t>
        </is>
      </c>
      <c r="C3" s="6" t="inlineStr">
        <is>
          <t>Start time:</t>
        </is>
      </c>
      <c r="D3" s="41" t="n">
        <v>0.6770833333333334</v>
      </c>
      <c r="E3" s="6" t="inlineStr">
        <is>
          <t>Start time (ZT):</t>
        </is>
      </c>
      <c r="F3" s="10">
        <f>IF(D3="","","ZT " &amp; TEXT(MOD(D3-METADATA!$B$19,1),"hh:mm"))</f>
        <v/>
      </c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t="14.25" customHeight="1" s="62">
      <c r="A4" s="6" t="inlineStr">
        <is>
          <t>Date:</t>
        </is>
      </c>
      <c r="B4" s="42" t="n">
        <v>46214</v>
      </c>
      <c r="C4" s="6" t="inlineStr">
        <is>
          <t>End time:</t>
        </is>
      </c>
      <c r="D4" s="41" t="n">
        <v>0.6861111111111111</v>
      </c>
      <c r="E4" s="6" t="inlineStr">
        <is>
          <t>End time (ZT):</t>
        </is>
      </c>
      <c r="F4" s="10">
        <f>IF(D4="","","ZT " &amp; TEXT(MOD(D4-METADATA!$B$19,1),"hh:mm"))</f>
        <v/>
      </c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14.25" customHeight="1" s="62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 ht="14.25" customHeight="1" s="62">
      <c r="A6" s="45" t="inlineStr">
        <is>
          <t>Trial Type:</t>
        </is>
      </c>
      <c r="B6" s="46" t="inlineStr">
        <is>
          <t>Discrimination</t>
        </is>
      </c>
      <c r="C6" s="5" t="n"/>
      <c r="D6" s="45" t="inlineStr">
        <is>
          <t>Rewarded:</t>
        </is>
      </c>
      <c r="E6" s="46" t="inlineStr">
        <is>
          <t>Anise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 ht="14.25" customHeight="1" s="62">
      <c r="A7" s="45" t="inlineStr">
        <is>
          <t>Odors:</t>
        </is>
      </c>
      <c r="B7" s="49" t="inlineStr">
        <is>
          <t>A: Anise</t>
        </is>
      </c>
      <c r="C7" s="49" t="inlineStr">
        <is>
          <t>B: Cinnamon</t>
        </is>
      </c>
      <c r="D7" s="49" t="inlineStr">
        <is>
          <t>C: Lemon</t>
        </is>
      </c>
      <c r="E7" s="49" t="inlineStr">
        <is>
          <t>D: Vanilla</t>
        </is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14.25" customHeight="1" s="62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t="30" customHeight="1" s="62">
      <c r="A9" s="20" t="inlineStr">
        <is>
          <t>Trial</t>
        </is>
      </c>
      <c r="B9" s="24" t="inlineStr">
        <is>
          <t>Bowl Order
(NW, NE, SW, SE)</t>
        </is>
      </c>
      <c r="C9" s="21" t="inlineStr">
        <is>
          <t>Quadrant Chosen</t>
        </is>
      </c>
      <c r="D9" s="20" t="inlineStr">
        <is>
          <t>Odor Chosen</t>
        </is>
      </c>
      <c r="E9" s="20" t="inlineStr">
        <is>
          <t>Correct?</t>
        </is>
      </c>
      <c r="F9" s="20" t="inlineStr">
        <is>
          <t>Latency (s)</t>
        </is>
      </c>
      <c r="G9" s="31" t="inlineStr">
        <is>
          <t>Entry Sequence</t>
        </is>
      </c>
      <c r="H9" s="31" t="inlineStr">
        <is>
          <t>Odor Sequences</t>
        </is>
      </c>
      <c r="I9" s="20" t="inlineStr">
        <is>
          <t>Notes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t="14.25" customHeight="1" s="62">
      <c r="A10" s="29" t="n">
        <v>1</v>
      </c>
      <c r="B10" s="29" t="inlineStr">
        <is>
          <t>ABCD</t>
        </is>
      </c>
      <c r="C10" s="47">
        <f t="array" ref="C10">IFS(D10="","", D10="A","NW", D10="B","NE", D10="C","SW", D10="D","SE",D10="Omit", "")</f>
        <v/>
      </c>
      <c r="D10" s="51" t="inlineStr">
        <is>
          <t>A</t>
        </is>
      </c>
      <c r="E10" s="30">
        <f>IF(D10="","",IF(D10="A","Correct","Incorrect"))</f>
        <v/>
      </c>
      <c r="F10" s="53" t="n">
        <v>20</v>
      </c>
      <c r="G10" s="48" t="inlineStr">
        <is>
          <t>424341</t>
        </is>
      </c>
      <c r="H10" s="30">
        <f t="array" ref="H10">IF($G10="","",TEXTJOIN("",TRUE,MID($B10,MID($G10,SEQUENCE(LEN($G10),1),1)+0,1)))</f>
        <v/>
      </c>
      <c r="I10" s="48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t="14.25" customHeight="1" s="62">
      <c r="A11" s="29" t="n">
        <v>2</v>
      </c>
      <c r="B11" s="29" t="inlineStr">
        <is>
          <t>BCDA</t>
        </is>
      </c>
      <c r="C11" s="47">
        <f t="array" ref="C11">IFS(D11="","", D11="A","SE", D11="B","NW", D11="C","NE", D11="D","SW",D11="Omit", "")</f>
        <v/>
      </c>
      <c r="D11" s="51" t="inlineStr">
        <is>
          <t>A</t>
        </is>
      </c>
      <c r="E11" s="30">
        <f>IF(D11="","",IF(D11="A","Correct","Incorrect"))</f>
        <v/>
      </c>
      <c r="F11" s="53" t="n">
        <v>4</v>
      </c>
      <c r="G11" s="48" t="inlineStr">
        <is>
          <t>34</t>
        </is>
      </c>
      <c r="H11" s="30">
        <f t="array" ref="H11">IF($G11="","",TEXTJOIN("",TRUE,MID($B11,MID($G11,SEQUENCE(LEN($G11),1),1)+0,1)))</f>
        <v/>
      </c>
      <c r="I11" s="48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t="14.25" customHeight="1" s="62">
      <c r="A12" s="29" t="n">
        <v>3</v>
      </c>
      <c r="B12" s="29" t="inlineStr">
        <is>
          <t>CDAB</t>
        </is>
      </c>
      <c r="C12" s="47">
        <f t="array" ref="C12">IFS(D12="","", D12="A","SW", D12="B","SE", D12="C","NW", D12="D","NE",D12="Omit", "")</f>
        <v/>
      </c>
      <c r="D12" s="51" t="inlineStr">
        <is>
          <t>A</t>
        </is>
      </c>
      <c r="E12" s="30">
        <f>IF(D12="","",IF(D12="A","Correct","Incorrect"))</f>
        <v/>
      </c>
      <c r="F12" s="53" t="n">
        <v>5</v>
      </c>
      <c r="G12" s="48" t="inlineStr">
        <is>
          <t>13</t>
        </is>
      </c>
      <c r="H12" s="30">
        <f t="array" ref="H12">IF($G12="","",TEXTJOIN("",TRUE,MID($B12,MID($G12,SEQUENCE(LEN($G12),1),1)+0,1)))</f>
        <v/>
      </c>
      <c r="I12" s="48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t="14.25" customHeight="1" s="62">
      <c r="A13" s="29" t="n">
        <v>4</v>
      </c>
      <c r="B13" s="29" t="inlineStr">
        <is>
          <t>DABC</t>
        </is>
      </c>
      <c r="C13" s="47">
        <f t="array" ref="C13">IFS(D13="","", D13="A","NE", D13="B","SW", D13="C","SE", D13="D","NW",D13="Omit", "")</f>
        <v/>
      </c>
      <c r="D13" s="51" t="inlineStr">
        <is>
          <t>D</t>
        </is>
      </c>
      <c r="E13" s="30">
        <f>IF(D13="","",IF(D13="A","Correct","Incorrect"))</f>
        <v/>
      </c>
      <c r="F13" s="53" t="n">
        <v>11</v>
      </c>
      <c r="G13" s="48" t="inlineStr">
        <is>
          <t>3431</t>
        </is>
      </c>
      <c r="H13" s="30">
        <f t="array" ref="H13">IF($G13="","",TEXTJOIN("",TRUE,MID($B13,MID($G13,SEQUENCE(LEN($G13),1),1)+0,1)))</f>
        <v/>
      </c>
      <c r="I13" s="48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t="14.25" customHeight="1" s="62">
      <c r="A14" s="29" t="n">
        <v>5</v>
      </c>
      <c r="B14" s="29" t="inlineStr">
        <is>
          <t>ABCD</t>
        </is>
      </c>
      <c r="C14" s="47">
        <f t="array" ref="C14">IFS(D14="","", D14="A","NW", D14="B","NE", D14="C","SW", D14="D","SE",D14="Omit", "")</f>
        <v/>
      </c>
      <c r="D14" s="51" t="inlineStr">
        <is>
          <t>A</t>
        </is>
      </c>
      <c r="E14" s="30">
        <f>IF(D14="","",IF(D14="A","Correct","Incorrect"))</f>
        <v/>
      </c>
      <c r="F14" s="53" t="n">
        <v>8</v>
      </c>
      <c r="G14" s="48" t="inlineStr">
        <is>
          <t>21</t>
        </is>
      </c>
      <c r="H14" s="30">
        <f t="array" ref="H14">IF($G14="","",TEXTJOIN("",TRUE,MID($B14,MID($G14,SEQUENCE(LEN($G14),1),1)+0,1)))</f>
        <v/>
      </c>
      <c r="I14" s="48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t="14.25" customHeight="1" s="62">
      <c r="A15" s="29" t="n">
        <v>6</v>
      </c>
      <c r="B15" s="29" t="inlineStr">
        <is>
          <t>BCDA</t>
        </is>
      </c>
      <c r="C15" s="47">
        <f t="array" ref="C15">IFS(D15="","", D15="A","SE", D15="B","NW", D15="C","NE", D15="D","SW",D15="Omit", "")</f>
        <v/>
      </c>
      <c r="D15" s="51" t="inlineStr">
        <is>
          <t>A</t>
        </is>
      </c>
      <c r="E15" s="30">
        <f>IF(D15="","",IF(D15="A","Correct","Incorrect"))</f>
        <v/>
      </c>
      <c r="F15" s="53" t="n">
        <v>4</v>
      </c>
      <c r="G15" s="48" t="inlineStr">
        <is>
          <t>4</t>
        </is>
      </c>
      <c r="H15" s="30">
        <f t="array" ref="H15">IF($G15="","",TEXTJOIN("",TRUE,MID($B15,MID($G15,SEQUENCE(LEN($G15),1),1)+0,1)))</f>
        <v/>
      </c>
      <c r="I15" s="48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 ht="14.25" customHeight="1" s="62">
      <c r="A16" s="29" t="n">
        <v>7</v>
      </c>
      <c r="B16" s="29" t="inlineStr">
        <is>
          <t>CDAB</t>
        </is>
      </c>
      <c r="C16" s="47">
        <f t="array" ref="C16">IFS(D16="","", D16="A","SW", D16="B","SE", D16="C","NW", D16="D","NE",D16="Omit", "")</f>
        <v/>
      </c>
      <c r="D16" s="51" t="inlineStr">
        <is>
          <t>A</t>
        </is>
      </c>
      <c r="E16" s="30">
        <f>IF(D16="","",IF(D16="A","Correct","Incorrect"))</f>
        <v/>
      </c>
      <c r="F16" s="53" t="n">
        <v>5</v>
      </c>
      <c r="G16" s="48" t="inlineStr">
        <is>
          <t>3</t>
        </is>
      </c>
      <c r="H16" s="30">
        <f t="array" ref="H16">IF($G16="","",TEXTJOIN("",TRUE,MID($B16,MID($G16,SEQUENCE(LEN($G16),1),1)+0,1)))</f>
        <v/>
      </c>
      <c r="I16" s="48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t="14.25" customHeight="1" s="62">
      <c r="A17" s="29" t="n">
        <v>8</v>
      </c>
      <c r="B17" s="29" t="inlineStr">
        <is>
          <t>DABC</t>
        </is>
      </c>
      <c r="C17" s="47">
        <f t="array" ref="C17">IFS(D17="","", D17="A","NE", D17="B","SW", D17="C","SE", D17="D","NW",D17="Omit", "")</f>
        <v/>
      </c>
      <c r="D17" s="51" t="inlineStr">
        <is>
          <t>A</t>
        </is>
      </c>
      <c r="E17" s="30">
        <f>IF(D17="","",IF(D17="A","Correct","Incorrect"))</f>
        <v/>
      </c>
      <c r="F17" s="53" t="n">
        <v>14</v>
      </c>
      <c r="G17" s="48" t="inlineStr">
        <is>
          <t>21312</t>
        </is>
      </c>
      <c r="H17" s="30">
        <f t="array" ref="H17">IF($G17="","",TEXTJOIN("",TRUE,MID($B17,MID($G17,SEQUENCE(LEN($G17),1),1)+0,1)))</f>
        <v/>
      </c>
      <c r="I17" s="48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t="14.25" customHeight="1" s="62">
      <c r="A18" s="29" t="n">
        <v>9</v>
      </c>
      <c r="B18" s="29" t="inlineStr">
        <is>
          <t>ABCD</t>
        </is>
      </c>
      <c r="C18" s="47">
        <f t="array" ref="C18">IFS(D18="","", D18="A","NW", D18="B","NE", D18="C","SW", D18="D","SE",D18="Omit", "")</f>
        <v/>
      </c>
      <c r="D18" s="51" t="inlineStr">
        <is>
          <t>A</t>
        </is>
      </c>
      <c r="E18" s="30">
        <f>IF(D18="","",IF(D18="A","Correct","Incorrect"))</f>
        <v/>
      </c>
      <c r="F18" s="53" t="n">
        <v>10</v>
      </c>
      <c r="G18" s="48" t="inlineStr">
        <is>
          <t>321</t>
        </is>
      </c>
      <c r="H18" s="30">
        <f t="array" ref="H18">IF($G18="","",TEXTJOIN("",TRUE,MID($B18,MID($G18,SEQUENCE(LEN($G18),1),1)+0,1)))</f>
        <v/>
      </c>
      <c r="I18" s="48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t="14.25" customHeight="1" s="62">
      <c r="A19" s="29" t="n">
        <v>10</v>
      </c>
      <c r="B19" s="29" t="inlineStr">
        <is>
          <t>BCDA</t>
        </is>
      </c>
      <c r="C19" s="47">
        <f t="array" ref="C19">IFS(D19="","", D19="A","SE", D19="B","NW", D19="C","NE", D19="D","SW",D19="Omit", "")</f>
        <v/>
      </c>
      <c r="D19" s="51" t="n"/>
      <c r="E19" s="30">
        <f>IF(D19="","",IF(D19="A","Correct","Incorrect"))</f>
        <v/>
      </c>
      <c r="F19" s="53" t="n"/>
      <c r="G19" s="48" t="n"/>
      <c r="H19" s="30">
        <f t="array" ref="H19">IF($G19="","",TEXTJOIN("",TRUE,MID($B19,MID($G19,SEQUENCE(LEN($G19),1),1)+0,1)))</f>
        <v/>
      </c>
      <c r="I19" s="48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4.25" customHeight="1" s="62">
      <c r="A20" s="29" t="n">
        <v>11</v>
      </c>
      <c r="B20" s="29" t="inlineStr">
        <is>
          <t>CDAB</t>
        </is>
      </c>
      <c r="C20" s="47">
        <f t="array" ref="C20">IFS(D20="","", D20="A","SW", D20="B","SE", D20="C","NW", D20="D","NE",D20="Omit", "")</f>
        <v/>
      </c>
      <c r="D20" s="51" t="n"/>
      <c r="E20" s="30">
        <f>IF(D20="","",IF(D20="A","Correct","Incorrect"))</f>
        <v/>
      </c>
      <c r="F20" s="53" t="n"/>
      <c r="G20" s="48" t="n"/>
      <c r="H20" s="30">
        <f t="array" ref="H20">IF($G20="","",TEXTJOIN("",TRUE,MID($B20,MID($G20,SEQUENCE(LEN($G20),1),1)+0,1)))</f>
        <v/>
      </c>
      <c r="I20" s="48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4.25" customHeight="1" s="62">
      <c r="A21" s="29" t="n">
        <v>12</v>
      </c>
      <c r="B21" s="29" t="inlineStr">
        <is>
          <t>DABC</t>
        </is>
      </c>
      <c r="C21" s="47">
        <f t="array" ref="C21">IFS(D21="","", D21="A","NE", D21="B","SW", D21="C","SE", D21="D","NW",D21="Omit", "")</f>
        <v/>
      </c>
      <c r="D21" s="51" t="n"/>
      <c r="E21" s="30">
        <f>IF(D21="","",IF(D21="A","Correct","Incorrect"))</f>
        <v/>
      </c>
      <c r="F21" s="53" t="n"/>
      <c r="G21" s="48" t="n"/>
      <c r="H21" s="30">
        <f t="array" ref="H21">IF($G21="","",TEXTJOIN("",TRUE,MID($B21,MID($G21,SEQUENCE(LEN($G21),1),1)+0,1)))</f>
        <v/>
      </c>
      <c r="I21" s="48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4.25" customHeight="1" s="62">
      <c r="A22" s="29" t="n">
        <v>13</v>
      </c>
      <c r="B22" s="29" t="inlineStr">
        <is>
          <t>ABCD</t>
        </is>
      </c>
      <c r="C22" s="47">
        <f t="array" ref="C22">IFS(D22="","", D22="A","NW", D22="B","NE", D22="C","SW", D22="D","SE",D22="Omit", "")</f>
        <v/>
      </c>
      <c r="D22" s="51" t="n"/>
      <c r="E22" s="30">
        <f>IF(D22="","",IF(D22="A","Correct","Incorrect"))</f>
        <v/>
      </c>
      <c r="F22" s="53" t="n"/>
      <c r="G22" s="48" t="n"/>
      <c r="H22" s="30">
        <f t="array" ref="H22">IF($G22="","",TEXTJOIN("",TRUE,MID($B22,MID($G22,SEQUENCE(LEN($G22),1),1)+0,1)))</f>
        <v/>
      </c>
      <c r="I22" s="48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4.25" customHeight="1" s="62">
      <c r="A23" s="29" t="n">
        <v>14</v>
      </c>
      <c r="B23" s="29" t="inlineStr">
        <is>
          <t>BCDA</t>
        </is>
      </c>
      <c r="C23" s="47">
        <f t="array" ref="C23">IFS(D23="","", D23="A","SE", D23="B","NW", D23="C","NE", D23="D","SW",D23="Omit", "")</f>
        <v/>
      </c>
      <c r="D23" s="51" t="n"/>
      <c r="E23" s="30">
        <f>IF(D23="","",IF(D23="A","Correct","Incorrect"))</f>
        <v/>
      </c>
      <c r="F23" s="53" t="n"/>
      <c r="G23" s="48" t="n"/>
      <c r="H23" s="30">
        <f t="array" ref="H23">IF($G23="","",TEXTJOIN("",TRUE,MID($B23,MID($G23,SEQUENCE(LEN($G23),1),1)+0,1)))</f>
        <v/>
      </c>
      <c r="I23" s="48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4.25" customHeight="1" s="62">
      <c r="A24" s="29" t="n">
        <v>15</v>
      </c>
      <c r="B24" s="29" t="inlineStr">
        <is>
          <t>CDAB</t>
        </is>
      </c>
      <c r="C24" s="47">
        <f t="array" ref="C24">IFS(D24="","", D24="A","SW", D24="B","SE", D24="C","NW", D24="D","NE",D24="Omit", "")</f>
        <v/>
      </c>
      <c r="D24" s="51" t="n"/>
      <c r="E24" s="30">
        <f>IF(D24="","",IF(D24="A","Correct","Incorrect"))</f>
        <v/>
      </c>
      <c r="F24" s="53" t="n"/>
      <c r="G24" s="48" t="n"/>
      <c r="H24" s="30">
        <f t="array" ref="H24">IF($G24="","",TEXTJOIN("",TRUE,MID($B24,MID($G24,SEQUENCE(LEN($G24),1),1)+0,1)))</f>
        <v/>
      </c>
      <c r="I24" s="48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4.25" customHeight="1" s="62">
      <c r="A25" s="29" t="n">
        <v>16</v>
      </c>
      <c r="B25" s="29" t="inlineStr">
        <is>
          <t>DABC</t>
        </is>
      </c>
      <c r="C25" s="47">
        <f t="array" ref="C25">IFS(D25="","", D25="A","NE", D25="B","SW", D25="C","SE", D25="D","NW",D25="Omit", "")</f>
        <v/>
      </c>
      <c r="D25" s="51" t="n"/>
      <c r="E25" s="30">
        <f>IF(D25="","",IF(D25="A","Correct","Incorrect"))</f>
        <v/>
      </c>
      <c r="F25" s="53" t="n"/>
      <c r="G25" s="48" t="n"/>
      <c r="H25" s="30">
        <f t="array" ref="H25">IF($G25="","",TEXTJOIN("",TRUE,MID($B25,MID($G25,SEQUENCE(LEN($G25),1),1)+0,1)))</f>
        <v/>
      </c>
      <c r="I25" s="48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4.25" customHeight="1" s="62">
      <c r="A26" s="29" t="n">
        <v>17</v>
      </c>
      <c r="B26" s="29" t="inlineStr">
        <is>
          <t>ABCD</t>
        </is>
      </c>
      <c r="C26" s="47">
        <f t="array" ref="C26">IFS(D26="","", D26="A","NW", D26="B","NE", D26="C","SW", D26="D","SE",D26="Omit", "")</f>
        <v/>
      </c>
      <c r="D26" s="51" t="n"/>
      <c r="E26" s="30">
        <f>IF(D26="","",IF(D26="A","Correct","Incorrect"))</f>
        <v/>
      </c>
      <c r="F26" s="53" t="n"/>
      <c r="G26" s="48" t="n"/>
      <c r="H26" s="30">
        <f t="array" ref="H26">IF($G26="","",TEXTJOIN("",TRUE,MID($B26,MID($G26,SEQUENCE(LEN($G26),1),1)+0,1)))</f>
        <v/>
      </c>
      <c r="I26" s="48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4.25" customHeight="1" s="62">
      <c r="A27" s="29" t="n">
        <v>18</v>
      </c>
      <c r="B27" s="29" t="inlineStr">
        <is>
          <t>BCDA</t>
        </is>
      </c>
      <c r="C27" s="47">
        <f t="array" ref="C27">IFS(D27="","", D27="A","SE", D27="B","NW", D27="C","NE", D27="D","SW",D27="Omit", "")</f>
        <v/>
      </c>
      <c r="D27" s="51" t="n"/>
      <c r="E27" s="30">
        <f>IF(D27="","",IF(D27="A","Correct","Incorrect"))</f>
        <v/>
      </c>
      <c r="F27" s="53" t="n"/>
      <c r="G27" s="48" t="n"/>
      <c r="H27" s="30">
        <f t="array" ref="H27">IF($G27="","",TEXTJOIN("",TRUE,MID($B27,MID($G27,SEQUENCE(LEN($G27),1),1)+0,1)))</f>
        <v/>
      </c>
      <c r="I27" s="48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4.25" customHeight="1" s="62">
      <c r="A28" s="29" t="n">
        <v>19</v>
      </c>
      <c r="B28" s="29" t="inlineStr">
        <is>
          <t>CDAB</t>
        </is>
      </c>
      <c r="C28" s="47">
        <f t="array" ref="C28">IFS(D28="","", D28="A","SW", D28="B","SE", D28="C","NW", D28="D","NE",D28="Omit", "")</f>
        <v/>
      </c>
      <c r="D28" s="51" t="n"/>
      <c r="E28" s="30">
        <f>IF(D28="","",IF(D28="A","Correct","Incorrect"))</f>
        <v/>
      </c>
      <c r="F28" s="53" t="n"/>
      <c r="G28" s="48" t="n"/>
      <c r="H28" s="30">
        <f t="array" ref="H28">IF($G28="","",TEXTJOIN("",TRUE,MID($B28,MID($G28,SEQUENCE(LEN($G28),1),1)+0,1)))</f>
        <v/>
      </c>
      <c r="I28" s="48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4.25" customHeight="1" s="62">
      <c r="A29" s="29" t="n">
        <v>20</v>
      </c>
      <c r="B29" s="29" t="inlineStr">
        <is>
          <t>DABC</t>
        </is>
      </c>
      <c r="C29" s="47">
        <f t="array" ref="C29">IFS(D29="","", D29="A","NE", D29="B","SW", D29="C","SE", D29="D","NW",D29="Omit", "")</f>
        <v/>
      </c>
      <c r="D29" s="51" t="n"/>
      <c r="E29" s="30">
        <f>IF(D29="","",IF(D29="A","Correct","Incorrect"))</f>
        <v/>
      </c>
      <c r="F29" s="53" t="n"/>
      <c r="G29" s="48" t="n"/>
      <c r="H29" s="30">
        <f t="array" ref="H29">IF($G29="","",TEXTJOIN("",TRUE,MID($B29,MID($G29,SEQUENCE(LEN($G29),1),1)+0,1)))</f>
        <v/>
      </c>
      <c r="I29" s="48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4.25" customHeight="1" s="62">
      <c r="A30" s="29" t="n">
        <v>21</v>
      </c>
      <c r="B30" s="29" t="inlineStr">
        <is>
          <t>ABCD</t>
        </is>
      </c>
      <c r="C30" s="47">
        <f t="array" ref="C30">IFS(D30="","", D30="A","NW", D30="B","NE", D30="C","SW", D30="D","SE",D30="Omit", "")</f>
        <v/>
      </c>
      <c r="D30" s="51" t="n"/>
      <c r="E30" s="30">
        <f>IF(D30="","",IF(D30="A","Correct","Incorrect"))</f>
        <v/>
      </c>
      <c r="F30" s="53" t="n"/>
      <c r="G30" s="48" t="n"/>
      <c r="H30" s="30">
        <f t="array" ref="H30">IF($G30="","",TEXTJOIN("",TRUE,MID($B30,MID($G30,SEQUENCE(LEN($G30),1),1)+0,1)))</f>
        <v/>
      </c>
      <c r="I30" s="48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4.25" customHeight="1" s="62">
      <c r="A31" s="29" t="n">
        <v>22</v>
      </c>
      <c r="B31" s="29" t="inlineStr">
        <is>
          <t>BCDA</t>
        </is>
      </c>
      <c r="C31" s="47">
        <f t="array" ref="C31">IFS(D31="","", D31="A","SE", D31="B","NW", D31="C","NE", D31="D","SW",D31="Omit", "")</f>
        <v/>
      </c>
      <c r="D31" s="51" t="n"/>
      <c r="E31" s="30">
        <f>IF(D31="","",IF(D31="A","Correct","Incorrect"))</f>
        <v/>
      </c>
      <c r="F31" s="53" t="n"/>
      <c r="G31" s="48" t="n"/>
      <c r="H31" s="30">
        <f t="array" ref="H31">IF($G31="","",TEXTJOIN("",TRUE,MID($B31,MID($G31,SEQUENCE(LEN($G31),1),1)+0,1)))</f>
        <v/>
      </c>
      <c r="I31" s="48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4.25" customHeight="1" s="62">
      <c r="A32" s="29" t="n">
        <v>23</v>
      </c>
      <c r="B32" s="29" t="inlineStr">
        <is>
          <t>CDAB</t>
        </is>
      </c>
      <c r="C32" s="47">
        <f t="array" ref="C32">IFS(D32="","", D32="A","SW", D32="B","SE", D32="C","NW", D32="D","NE",D32="Omit", "")</f>
        <v/>
      </c>
      <c r="D32" s="51" t="n"/>
      <c r="E32" s="30">
        <f>IF(D32="","",IF(D32="A","Correct","Incorrect"))</f>
        <v/>
      </c>
      <c r="F32" s="53" t="n"/>
      <c r="G32" s="48" t="n"/>
      <c r="H32" s="30">
        <f t="array" ref="H32">IF($G32="","",TEXTJOIN("",TRUE,MID($B32,MID($G32,SEQUENCE(LEN($G32),1),1)+0,1)))</f>
        <v/>
      </c>
      <c r="I32" s="48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4.25" customHeight="1" s="62">
      <c r="A33" s="29" t="n">
        <v>24</v>
      </c>
      <c r="B33" s="29" t="inlineStr">
        <is>
          <t>DABC</t>
        </is>
      </c>
      <c r="C33" s="47">
        <f t="array" ref="C33">IFS(D33="","", D33="A","NE", D33="B","SW", D33="C","SE", D33="D","NW",D33="Omit", "")</f>
        <v/>
      </c>
      <c r="D33" s="51" t="n"/>
      <c r="E33" s="30">
        <f>IF(D33="","",IF(D33="A","Correct","Incorrect"))</f>
        <v/>
      </c>
      <c r="F33" s="53" t="n"/>
      <c r="G33" s="48" t="n"/>
      <c r="H33" s="30">
        <f t="array" ref="H33">IF($G33="","",TEXTJOIN("",TRUE,MID($B33,MID($G33,SEQUENCE(LEN($G33),1),1)+0,1)))</f>
        <v/>
      </c>
      <c r="I33" s="48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4.25" customHeight="1" s="62">
      <c r="A34" s="29" t="n">
        <v>25</v>
      </c>
      <c r="B34" s="29" t="inlineStr">
        <is>
          <t>ABCD</t>
        </is>
      </c>
      <c r="C34" s="47">
        <f t="array" ref="C34">IFS(D34="","", D34="A","NW", D34="B","NE", D34="C","SW", D34="D","SE",D34="Omit", "")</f>
        <v/>
      </c>
      <c r="D34" s="51" t="n"/>
      <c r="E34" s="30">
        <f>IF(D34="","",IF(D34="A","Correct","Incorrect"))</f>
        <v/>
      </c>
      <c r="F34" s="53" t="n"/>
      <c r="G34" s="48" t="n"/>
      <c r="H34" s="30">
        <f t="array" ref="H34">IF($G34="","",TEXTJOIN("",TRUE,MID($B34,MID($G34,SEQUENCE(LEN($G34),1),1)+0,1)))</f>
        <v/>
      </c>
      <c r="I34" s="48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4.25" customHeight="1" s="62">
      <c r="A35" s="29" t="n">
        <v>26</v>
      </c>
      <c r="B35" s="29" t="inlineStr">
        <is>
          <t>BCDA</t>
        </is>
      </c>
      <c r="C35" s="47">
        <f t="array" ref="C35">IFS(D35="","", D35="A","SE", D35="B","NW", D35="C","NE", D35="D","SW",D35="Omit", "")</f>
        <v/>
      </c>
      <c r="D35" s="51" t="n"/>
      <c r="E35" s="30">
        <f>IF(D35="","",IF(D35="A","Correct","Incorrect"))</f>
        <v/>
      </c>
      <c r="F35" s="53" t="n"/>
      <c r="G35" s="48" t="n"/>
      <c r="H35" s="30">
        <f t="array" ref="H35">IF($G35="","",TEXTJOIN("",TRUE,MID($B35,MID($G35,SEQUENCE(LEN($G35),1),1)+0,1)))</f>
        <v/>
      </c>
      <c r="I35" s="48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4.25" customHeight="1" s="62">
      <c r="A36" s="29" t="n">
        <v>27</v>
      </c>
      <c r="B36" s="29" t="inlineStr">
        <is>
          <t>CDAB</t>
        </is>
      </c>
      <c r="C36" s="47">
        <f t="array" ref="C36">IFS(D36="","", D36="A","SW", D36="B","SE", D36="C","NW", D36="D","NE",D36="Omit", "")</f>
        <v/>
      </c>
      <c r="D36" s="51" t="n"/>
      <c r="E36" s="30">
        <f>IF(D36="","",IF(D36="A","Correct","Incorrect"))</f>
        <v/>
      </c>
      <c r="F36" s="53" t="n"/>
      <c r="G36" s="48" t="n"/>
      <c r="H36" s="30">
        <f t="array" ref="H36">IF($G36="","",TEXTJOIN("",TRUE,MID($B36,MID($G36,SEQUENCE(LEN($G36),1),1)+0,1)))</f>
        <v/>
      </c>
      <c r="I36" s="48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4.25" customHeight="1" s="62">
      <c r="A37" s="29" t="n">
        <v>28</v>
      </c>
      <c r="B37" s="29" t="inlineStr">
        <is>
          <t>DABC</t>
        </is>
      </c>
      <c r="C37" s="47">
        <f t="array" ref="C37">IFS(D37="","", D37="A","NE", D37="B","SW", D37="C","SE", D37="D","NW",D37="Omit", "")</f>
        <v/>
      </c>
      <c r="D37" s="51" t="n"/>
      <c r="E37" s="30">
        <f>IF(D37="","",IF(D37="A","Correct","Incorrect"))</f>
        <v/>
      </c>
      <c r="F37" s="53" t="n"/>
      <c r="G37" s="48" t="n"/>
      <c r="H37" s="30">
        <f t="array" ref="H37">IF($G37="","",TEXTJOIN("",TRUE,MID($B37,MID($G37,SEQUENCE(LEN($G37),1),1)+0,1)))</f>
        <v/>
      </c>
      <c r="I37" s="48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4.25" customHeight="1" s="62">
      <c r="A38" s="29" t="n">
        <v>29</v>
      </c>
      <c r="B38" s="29" t="inlineStr">
        <is>
          <t>ABCD</t>
        </is>
      </c>
      <c r="C38" s="47">
        <f t="array" ref="C38">IFS(D38="","", D38="A","NW", D38="B","NE", D38="C","SW", D38="D","SE",D38="Omit", "")</f>
        <v/>
      </c>
      <c r="D38" s="51" t="n"/>
      <c r="E38" s="30">
        <f>IF(D38="","",IF(D38="A","Correct","Incorrect"))</f>
        <v/>
      </c>
      <c r="F38" s="53" t="n"/>
      <c r="G38" s="48" t="n"/>
      <c r="H38" s="30">
        <f t="array" ref="H38">IF($G38="","",TEXTJOIN("",TRUE,MID($B38,MID($G38,SEQUENCE(LEN($G38),1),1)+0,1)))</f>
        <v/>
      </c>
      <c r="I38" s="48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4.25" customHeight="1" s="62">
      <c r="A39" s="29" t="n">
        <v>30</v>
      </c>
      <c r="B39" s="29" t="inlineStr">
        <is>
          <t>BCDA</t>
        </is>
      </c>
      <c r="C39" s="47">
        <f t="array" ref="C39">IFS(D39="","", D39="A","SE", D39="B","NW", D39="C","NE", D39="D","SW",D39="Omit", "")</f>
        <v/>
      </c>
      <c r="D39" s="51" t="n"/>
      <c r="E39" s="30">
        <f>IF(D39="","",IF(D39="A","Correct","Incorrect"))</f>
        <v/>
      </c>
      <c r="F39" s="53" t="n"/>
      <c r="G39" s="48" t="n"/>
      <c r="H39" s="30">
        <f t="array" ref="H39">IF($G39="","",TEXTJOIN("",TRUE,MID($B39,MID($G39,SEQUENCE(LEN($G39),1),1)+0,1)))</f>
        <v/>
      </c>
      <c r="I39" s="48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4.25" customHeight="1" s="62">
      <c r="A40" s="29" t="n">
        <v>31</v>
      </c>
      <c r="B40" s="29" t="inlineStr">
        <is>
          <t>CDAB</t>
        </is>
      </c>
      <c r="C40" s="47">
        <f t="array" ref="C40">IFS(D40="","", D40="A","NW", D40="B","NE", D40="C","SW", D40="D","SE",D40="Omit", "")</f>
        <v/>
      </c>
      <c r="D40" s="51" t="n"/>
      <c r="E40" s="30">
        <f>IF(D40="","",IF(D40="A","Correct","Incorrect"))</f>
        <v/>
      </c>
      <c r="F40" s="53" t="n"/>
      <c r="G40" s="48" t="n"/>
      <c r="H40" s="30">
        <f t="array" ref="H40">IF($G40="","",TEXTJOIN("",TRUE,MID($B40,MID($G40,SEQUENCE(LEN($G40),1),1)+0,1)))</f>
        <v/>
      </c>
      <c r="I40" s="48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4.25" customHeight="1" s="62">
      <c r="A41" s="29" t="n">
        <v>32</v>
      </c>
      <c r="B41" s="29" t="inlineStr">
        <is>
          <t>DABC</t>
        </is>
      </c>
      <c r="C41" s="47">
        <f t="array" ref="C41">IFS(D41="","", D41="A","SE", D41="B","NW", D41="C","NE", D41="D","SW",D41="Omit", "")</f>
        <v/>
      </c>
      <c r="D41" s="51" t="n"/>
      <c r="E41" s="30">
        <f>IF(D41="","",IF(D41="A","Correct","Incorrect"))</f>
        <v/>
      </c>
      <c r="F41" s="53" t="n"/>
      <c r="G41" s="48" t="n"/>
      <c r="H41" s="30">
        <f t="array" ref="H41">IF($G41="","",TEXTJOIN("",TRUE,MID($B41,MID($G41,SEQUENCE(LEN($G41),1),1)+0,1)))</f>
        <v/>
      </c>
      <c r="I41" s="48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4.25" customHeight="1" s="62">
      <c r="A42" s="29" t="n">
        <v>33</v>
      </c>
      <c r="B42" s="29" t="inlineStr">
        <is>
          <t>ABCD</t>
        </is>
      </c>
      <c r="C42" s="47">
        <f t="array" ref="C42">IFS(D42="","", D42="A","SW", D42="B","SE", D42="C","NW", D42="D","NE",D42="Omit", "")</f>
        <v/>
      </c>
      <c r="D42" s="51" t="n"/>
      <c r="E42" s="30">
        <f>IF(D42="","",IF(D42="A","Correct","Incorrect"))</f>
        <v/>
      </c>
      <c r="F42" s="53" t="n"/>
      <c r="G42" s="48" t="n"/>
      <c r="H42" s="30">
        <f t="array" ref="H42">IF($G42="","",TEXTJOIN("",TRUE,MID($B42,MID($G42,SEQUENCE(LEN($G42),1),1)+0,1)))</f>
        <v/>
      </c>
      <c r="I42" s="48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4.25" customHeight="1" s="62">
      <c r="A43" s="29" t="n">
        <v>34</v>
      </c>
      <c r="B43" s="29" t="inlineStr">
        <is>
          <t>BCDA</t>
        </is>
      </c>
      <c r="C43" s="47">
        <f t="array" ref="C43">IFS(D43="","", D43="A","NE", D43="B","SW", D43="C","SE", D43="D","NW",D43="Omit", "")</f>
        <v/>
      </c>
      <c r="D43" s="51" t="n"/>
      <c r="E43" s="30">
        <f>IF(D43="","",IF(D43="A","Correct","Incorrect"))</f>
        <v/>
      </c>
      <c r="F43" s="53" t="n"/>
      <c r="G43" s="48" t="n"/>
      <c r="H43" s="30">
        <f t="array" ref="H43">IF($G43="","",TEXTJOIN("",TRUE,MID($B43,MID($G43,SEQUENCE(LEN($G43),1),1)+0,1)))</f>
        <v/>
      </c>
      <c r="I43" s="48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4.25" customHeight="1" s="62">
      <c r="A44" s="29" t="n">
        <v>35</v>
      </c>
      <c r="B44" s="29" t="inlineStr">
        <is>
          <t>CDAB</t>
        </is>
      </c>
      <c r="C44" s="47">
        <f t="array" ref="C44">IFS(D44="","", D44="A","NW", D44="B","NE", D44="C","SW", D44="D","SE",D44="Omit", "")</f>
        <v/>
      </c>
      <c r="D44" s="51" t="n"/>
      <c r="E44" s="30">
        <f>IF(D44="","",IF(D44="A","Correct","Incorrect"))</f>
        <v/>
      </c>
      <c r="F44" s="53" t="n"/>
      <c r="G44" s="48" t="n"/>
      <c r="H44" s="30">
        <f t="array" ref="H44">IF($G44="","",TEXTJOIN("",TRUE,MID($B44,MID($G44,SEQUENCE(LEN($G44),1),1)+0,1)))</f>
        <v/>
      </c>
      <c r="I44" s="48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4.25" customHeight="1" s="62">
      <c r="A45" s="29" t="n">
        <v>36</v>
      </c>
      <c r="B45" s="29" t="inlineStr">
        <is>
          <t>DABC</t>
        </is>
      </c>
      <c r="C45" s="47">
        <f t="array" ref="C45">IFS(D45="","", D45="A","SE", D45="B","NW", D45="C","NE", D45="D","SW",D45="Omit", "")</f>
        <v/>
      </c>
      <c r="D45" s="51" t="n"/>
      <c r="E45" s="30">
        <f>IF(D45="","",IF(D45="A","Correct","Incorrect"))</f>
        <v/>
      </c>
      <c r="F45" s="53" t="n"/>
      <c r="G45" s="48" t="n"/>
      <c r="H45" s="30">
        <f t="array" ref="H45">IF($G45="","",TEXTJOIN("",TRUE,MID($B45,MID($G45,SEQUENCE(LEN($G45),1),1)+0,1)))</f>
        <v/>
      </c>
      <c r="I45" s="48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4.25" customHeight="1" s="62">
      <c r="A46" s="29" t="n">
        <v>37</v>
      </c>
      <c r="B46" s="29" t="inlineStr">
        <is>
          <t>ABCD</t>
        </is>
      </c>
      <c r="C46" s="47">
        <f t="array" ref="C46">IFS(D46="","", D46="A","SW", D46="B","SE", D46="C","NW", D46="D","NE",D46="Omit", "")</f>
        <v/>
      </c>
      <c r="D46" s="51" t="n"/>
      <c r="E46" s="30">
        <f>IF(D46="","",IF(D46="A","Correct","Incorrect"))</f>
        <v/>
      </c>
      <c r="F46" s="53" t="n"/>
      <c r="G46" s="48" t="n"/>
      <c r="H46" s="30">
        <f t="array" ref="H46">IF($G46="","",TEXTJOIN("",TRUE,MID($B46,MID($G46,SEQUENCE(LEN($G46),1),1)+0,1)))</f>
        <v/>
      </c>
      <c r="I46" s="48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4.25" customHeight="1" s="62">
      <c r="A47" s="29" t="n">
        <v>38</v>
      </c>
      <c r="B47" s="29" t="inlineStr">
        <is>
          <t>BCDA</t>
        </is>
      </c>
      <c r="C47" s="47">
        <f t="array" ref="C47">IFS(D47="","", D47="A","NE", D47="B","SW", D47="C","SE", D47="D","NW",D47="Omit", "")</f>
        <v/>
      </c>
      <c r="D47" s="51" t="n"/>
      <c r="E47" s="30">
        <f>IF(D47="","",IF(D47="A","Correct","Incorrect"))</f>
        <v/>
      </c>
      <c r="F47" s="53" t="n"/>
      <c r="G47" s="48" t="n"/>
      <c r="H47" s="30">
        <f t="array" ref="H47">IF($G47="","",TEXTJOIN("",TRUE,MID($B47,MID($G47,SEQUENCE(LEN($G47),1),1)+0,1)))</f>
        <v/>
      </c>
      <c r="I47" s="48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4.25" customHeight="1" s="62">
      <c r="A48" s="29" t="n">
        <v>39</v>
      </c>
      <c r="B48" s="29" t="inlineStr">
        <is>
          <t>CDAB</t>
        </is>
      </c>
      <c r="C48" s="47">
        <f t="array" ref="C48">IFS(D48="","", D48="A","NW", D48="B","NE", D48="C","SW", D48="D","SE",D48="Omit", "")</f>
        <v/>
      </c>
      <c r="D48" s="51" t="n"/>
      <c r="E48" s="30">
        <f>IF(D48="","",IF(D48="A","Correct","Incorrect"))</f>
        <v/>
      </c>
      <c r="F48" s="53" t="n"/>
      <c r="G48" s="48" t="n"/>
      <c r="H48" s="30">
        <f t="array" ref="H48">IF($G48="","",TEXTJOIN("",TRUE,MID($B48,MID($G48,SEQUENCE(LEN($G48),1),1)+0,1)))</f>
        <v/>
      </c>
      <c r="I48" s="48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4.25" customHeight="1" s="62">
      <c r="A49" s="29" t="n">
        <v>40</v>
      </c>
      <c r="B49" s="29" t="inlineStr">
        <is>
          <t>DABC</t>
        </is>
      </c>
      <c r="C49" s="47">
        <f t="array" ref="C49">IFS(D49="","", D49="A","SE", D49="B","NW", D49="C","NE", D49="D","SW",D49="Omit", "")</f>
        <v/>
      </c>
      <c r="D49" s="51" t="n"/>
      <c r="E49" s="30">
        <f>IF(D49="","",IF(D49="A","Correct","Incorrect"))</f>
        <v/>
      </c>
      <c r="F49" s="53" t="n"/>
      <c r="G49" s="48" t="n"/>
      <c r="H49" s="30">
        <f t="array" ref="H49">IF($G49="","",TEXTJOIN("",TRUE,MID($B49,MID($G49,SEQUENCE(LEN($G49),1),1)+0,1)))</f>
        <v/>
      </c>
      <c r="I49" s="48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4.25" customHeight="1" s="62">
      <c r="A50" s="29" t="n">
        <v>41</v>
      </c>
      <c r="B50" s="29" t="inlineStr">
        <is>
          <t>ABCD</t>
        </is>
      </c>
      <c r="C50" s="47">
        <f t="array" ref="C50">IFS(D50="","", D50="A","SW", D50="B","SE", D50="C","NW", D50="D","NE",D50="Omit", "")</f>
        <v/>
      </c>
      <c r="D50" s="51" t="n"/>
      <c r="E50" s="30">
        <f>IF(D50="","",IF(D50="A","Correct","Incorrect"))</f>
        <v/>
      </c>
      <c r="F50" s="53" t="n"/>
      <c r="G50" s="48" t="n"/>
      <c r="H50" s="30">
        <f t="array" ref="H50">IF($G50="","",TEXTJOIN("",TRUE,MID($B50,MID($G50,SEQUENCE(LEN($G50),1),1)+0,1)))</f>
        <v/>
      </c>
      <c r="I50" s="48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4.25" customHeight="1" s="62">
      <c r="A51" s="29" t="n">
        <v>42</v>
      </c>
      <c r="B51" s="29" t="inlineStr">
        <is>
          <t>BCDA</t>
        </is>
      </c>
      <c r="C51" s="47">
        <f t="array" ref="C51">IFS(D51="","", D51="A","NE", D51="B","SW", D51="C","SE", D51="D","NW",D51="Omit", "")</f>
        <v/>
      </c>
      <c r="D51" s="51" t="n"/>
      <c r="E51" s="30">
        <f>IF(D51="","",IF(D51="A","Correct","Incorrect"))</f>
        <v/>
      </c>
      <c r="F51" s="53" t="n"/>
      <c r="G51" s="48" t="n"/>
      <c r="H51" s="30">
        <f t="array" ref="H51">IF($G51="","",TEXTJOIN("",TRUE,MID($B51,MID($G51,SEQUENCE(LEN($G51),1),1)+0,1)))</f>
        <v/>
      </c>
      <c r="I51" s="48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4.25" customHeight="1" s="62">
      <c r="A52" s="29" t="n">
        <v>43</v>
      </c>
      <c r="B52" s="29" t="inlineStr">
        <is>
          <t>CDAB</t>
        </is>
      </c>
      <c r="C52" s="47">
        <f t="array" ref="C52">IFS(D52="","", D52="A","NW", D52="B","NE", D52="C","SW", D52="D","SE",D52="Omit", "")</f>
        <v/>
      </c>
      <c r="D52" s="51" t="n"/>
      <c r="E52" s="30">
        <f>IF(D52="","",IF(D52="A","Correct","Incorrect"))</f>
        <v/>
      </c>
      <c r="F52" s="53" t="n"/>
      <c r="G52" s="48" t="n"/>
      <c r="H52" s="30">
        <f t="array" ref="H52">IF($G52="","",TEXTJOIN("",TRUE,MID($B52,MID($G52,SEQUENCE(LEN($G52),1),1)+0,1)))</f>
        <v/>
      </c>
      <c r="I52" s="48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4.25" customHeight="1" s="62">
      <c r="A53" s="29" t="n">
        <v>44</v>
      </c>
      <c r="B53" s="29" t="inlineStr">
        <is>
          <t>DABC</t>
        </is>
      </c>
      <c r="C53" s="47">
        <f t="array" ref="C53">IFS(D53="","", D53="A","SE", D53="B","NW", D53="C","NE", D53="D","SW",D53="Omit", "")</f>
        <v/>
      </c>
      <c r="D53" s="51" t="n"/>
      <c r="E53" s="30">
        <f>IF(D53="","",IF(D53="A","Correct","Incorrect"))</f>
        <v/>
      </c>
      <c r="F53" s="53" t="n"/>
      <c r="G53" s="48" t="n"/>
      <c r="H53" s="30">
        <f t="array" ref="H53">IF($G53="","",TEXTJOIN("",TRUE,MID($B53,MID($G53,SEQUENCE(LEN($G53),1),1)+0,1)))</f>
        <v/>
      </c>
      <c r="I53" s="48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4.25" customHeight="1" s="62">
      <c r="A54" s="29" t="n">
        <v>45</v>
      </c>
      <c r="B54" s="29" t="inlineStr">
        <is>
          <t>ABCD</t>
        </is>
      </c>
      <c r="C54" s="47">
        <f t="array" ref="C54">IFS(D54="","", D54="A","SW", D54="B","SE", D54="C","NW", D54="D","NE",D54="Omit", "")</f>
        <v/>
      </c>
      <c r="D54" s="51" t="n"/>
      <c r="E54" s="30">
        <f>IF(D54="","",IF(D54="A","Correct","Incorrect"))</f>
        <v/>
      </c>
      <c r="F54" s="53" t="n"/>
      <c r="G54" s="48" t="n"/>
      <c r="H54" s="30">
        <f t="array" ref="H54">IF($G54="","",TEXTJOIN("",TRUE,MID($B54,MID($G54,SEQUENCE(LEN($G54),1),1)+0,1)))</f>
        <v/>
      </c>
      <c r="I54" s="48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4.25" customHeight="1" s="62">
      <c r="A55" s="29" t="n">
        <v>46</v>
      </c>
      <c r="B55" s="29" t="inlineStr">
        <is>
          <t>BCDA</t>
        </is>
      </c>
      <c r="C55" s="47">
        <f t="array" ref="C55">IFS(D55="","", D55="A","NE", D55="B","SW", D55="C","SE", D55="D","NW",D55="Omit", "")</f>
        <v/>
      </c>
      <c r="D55" s="51" t="n"/>
      <c r="E55" s="30">
        <f>IF(D55="","",IF(D55="A","Correct","Incorrect"))</f>
        <v/>
      </c>
      <c r="F55" s="53" t="n"/>
      <c r="G55" s="48" t="n"/>
      <c r="H55" s="30">
        <f t="array" ref="H55">IF($G55="","",TEXTJOIN("",TRUE,MID($B55,MID($G55,SEQUENCE(LEN($G55),1),1)+0,1)))</f>
        <v/>
      </c>
      <c r="I55" s="48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4.25" customHeight="1" s="62">
      <c r="A56" s="29" t="n">
        <v>47</v>
      </c>
      <c r="B56" s="29" t="inlineStr">
        <is>
          <t>CDAB</t>
        </is>
      </c>
      <c r="C56" s="47">
        <f t="array" ref="C56">IFS(D56="","", D56="A","NW", D56="B","NE", D56="C","SW", D56="D","SE",D56="Omit", "")</f>
        <v/>
      </c>
      <c r="D56" s="51" t="n"/>
      <c r="E56" s="30">
        <f>IF(D56="","",IF(D56="A","Correct","Incorrect"))</f>
        <v/>
      </c>
      <c r="F56" s="53" t="n"/>
      <c r="G56" s="48" t="n"/>
      <c r="H56" s="30">
        <f t="array" ref="H56">IF($G56="","",TEXTJOIN("",TRUE,MID($B56,MID($G56,SEQUENCE(LEN($G56),1),1)+0,1)))</f>
        <v/>
      </c>
      <c r="I56" s="48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4.25" customHeight="1" s="62">
      <c r="A57" s="29" t="n">
        <v>48</v>
      </c>
      <c r="B57" s="29" t="inlineStr">
        <is>
          <t>DABC</t>
        </is>
      </c>
      <c r="C57" s="47">
        <f t="array" ref="C57">IFS(D57="","", D57="A","SE", D57="B","NW", D57="C","NE", D57="D","SW",D57="Omit", "")</f>
        <v/>
      </c>
      <c r="D57" s="51" t="n"/>
      <c r="E57" s="30">
        <f>IF(D57="","",IF(D57="A","Correct","Incorrect"))</f>
        <v/>
      </c>
      <c r="F57" s="53" t="n"/>
      <c r="G57" s="48" t="n"/>
      <c r="H57" s="30">
        <f t="array" ref="H57">IF($G57="","",TEXTJOIN("",TRUE,MID($B57,MID($G57,SEQUENCE(LEN($G57),1),1)+0,1)))</f>
        <v/>
      </c>
      <c r="I57" s="48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4.25" customHeight="1" s="62">
      <c r="A58" s="29" t="n">
        <v>49</v>
      </c>
      <c r="B58" s="29" t="inlineStr">
        <is>
          <t>ABCD</t>
        </is>
      </c>
      <c r="C58" s="47">
        <f t="array" ref="C58">IFS(D58="","", D58="A","SW", D58="B","SE", D58="C","NW", D58="D","NE",D58="Omit", "")</f>
        <v/>
      </c>
      <c r="D58" s="51" t="n"/>
      <c r="E58" s="30">
        <f>IF(D58="","",IF(D58="A","Correct","Incorrect"))</f>
        <v/>
      </c>
      <c r="F58" s="53" t="n"/>
      <c r="G58" s="48" t="n"/>
      <c r="H58" s="30">
        <f t="array" ref="H58">IF($G58="","",TEXTJOIN("",TRUE,MID($B58,MID($G58,SEQUENCE(LEN($G58),1),1)+0,1)))</f>
        <v/>
      </c>
      <c r="I58" s="48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4.25" customHeight="1" s="62">
      <c r="A59" s="29" t="n">
        <v>50</v>
      </c>
      <c r="B59" s="29" t="inlineStr">
        <is>
          <t>BCDA</t>
        </is>
      </c>
      <c r="C59" s="47">
        <f t="array" ref="C59">IFS(D59="","", D59="A","NE", D59="B","SW", D59="C","SE", D59="D","NW",D59="Omit", "")</f>
        <v/>
      </c>
      <c r="D59" s="51" t="n"/>
      <c r="E59" s="30">
        <f>IF(D59="","",IF(D59="A","Correct","Incorrect"))</f>
        <v/>
      </c>
      <c r="F59" s="53" t="n"/>
      <c r="G59" s="48" t="n"/>
      <c r="H59" s="30">
        <f t="array" ref="H59">IF($G59="","",TEXTJOIN("",TRUE,MID($B59,MID($G59,SEQUENCE(LEN($G59),1),1)+0,1)))</f>
        <v/>
      </c>
      <c r="I59" s="48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4.25" customHeight="1" s="62">
      <c r="A60" s="29" t="n">
        <v>51</v>
      </c>
      <c r="B60" s="29" t="inlineStr">
        <is>
          <t>CDAB</t>
        </is>
      </c>
      <c r="C60" s="47">
        <f t="array" ref="C60">IFS(D60="","", D60="A","NW", D60="B","NE", D60="C","SW", D60="D","SE",D60="Omit", "")</f>
        <v/>
      </c>
      <c r="D60" s="51" t="n"/>
      <c r="E60" s="30">
        <f>IF(D60="","",IF(D60="A","Correct","Incorrect"))</f>
        <v/>
      </c>
      <c r="F60" s="53" t="n"/>
      <c r="G60" s="48" t="n"/>
      <c r="H60" s="30">
        <f t="array" ref="H60">IF($G60="","",TEXTJOIN("",TRUE,MID($B60,MID($G60,SEQUENCE(LEN($G60),1),1)+0,1)))</f>
        <v/>
      </c>
      <c r="I60" s="48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4.25" customHeight="1" s="62">
      <c r="A61" s="29" t="n">
        <v>52</v>
      </c>
      <c r="B61" s="29" t="inlineStr">
        <is>
          <t>DABC</t>
        </is>
      </c>
      <c r="C61" s="47">
        <f t="array" ref="C61">IFS(D61="","", D61="A","SE", D61="B","NW", D61="C","NE", D61="D","SW",D61="Omit", "")</f>
        <v/>
      </c>
      <c r="D61" s="51" t="n"/>
      <c r="E61" s="30">
        <f>IF(D61="","",IF(D61="A","Correct","Incorrect"))</f>
        <v/>
      </c>
      <c r="F61" s="53" t="n"/>
      <c r="G61" s="48" t="n"/>
      <c r="H61" s="30">
        <f t="array" ref="H61">IF($G61="","",TEXTJOIN("",TRUE,MID($B61,MID($G61,SEQUENCE(LEN($G61),1),1)+0,1)))</f>
        <v/>
      </c>
      <c r="I61" s="48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4.25" customHeight="1" s="62">
      <c r="A62" s="29" t="n">
        <v>53</v>
      </c>
      <c r="B62" s="29" t="inlineStr">
        <is>
          <t>ABCD</t>
        </is>
      </c>
      <c r="C62" s="47">
        <f t="array" ref="C62">IFS(D62="","", D62="A","SW", D62="B","SE", D62="C","NW", D62="D","NE",D62="Omit", "")</f>
        <v/>
      </c>
      <c r="D62" s="51" t="n"/>
      <c r="E62" s="30">
        <f>IF(D62="","",IF(D62="A","Correct","Incorrect"))</f>
        <v/>
      </c>
      <c r="F62" s="53" t="n"/>
      <c r="G62" s="48" t="n"/>
      <c r="H62" s="30">
        <f t="array" ref="H62">IF($G62="","",TEXTJOIN("",TRUE,MID($B62,MID($G62,SEQUENCE(LEN($G62),1),1)+0,1)))</f>
        <v/>
      </c>
      <c r="I62" s="48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4.25" customHeight="1" s="62">
      <c r="A63" s="29" t="n">
        <v>54</v>
      </c>
      <c r="B63" s="29" t="inlineStr">
        <is>
          <t>BCDA</t>
        </is>
      </c>
      <c r="C63" s="47">
        <f t="array" ref="C63">IFS(D63="","", D63="A","NE", D63="B","SW", D63="C","SE", D63="D","NW",D63="Omit", "")</f>
        <v/>
      </c>
      <c r="D63" s="51" t="n"/>
      <c r="E63" s="30">
        <f>IF(D63="","",IF(D63="A","Correct","Incorrect"))</f>
        <v/>
      </c>
      <c r="F63" s="53" t="n"/>
      <c r="G63" s="48" t="n"/>
      <c r="H63" s="30">
        <f t="array" ref="H63">IF($G63="","",TEXTJOIN("",TRUE,MID($B63,MID($G63,SEQUENCE(LEN($G63),1),1)+0,1)))</f>
        <v/>
      </c>
      <c r="I63" s="48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4.25" customHeight="1" s="62">
      <c r="A64" s="29" t="n">
        <v>55</v>
      </c>
      <c r="B64" s="29" t="inlineStr">
        <is>
          <t>CDAB</t>
        </is>
      </c>
      <c r="C64" s="47">
        <f t="array" ref="C64">IFS(D64="","", D64="A","NW", D64="B","NE", D64="C","SW", D64="D","SE",D64="Omit", "")</f>
        <v/>
      </c>
      <c r="D64" s="51" t="n"/>
      <c r="E64" s="30">
        <f>IF(D64="","",IF(D64="A","Correct","Incorrect"))</f>
        <v/>
      </c>
      <c r="F64" s="53" t="n"/>
      <c r="G64" s="48" t="n"/>
      <c r="H64" s="30">
        <f t="array" ref="H64">IF($G64="","",TEXTJOIN("",TRUE,MID($B64,MID($G64,SEQUENCE(LEN($G64),1),1)+0,1)))</f>
        <v/>
      </c>
      <c r="I64" s="48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4.25" customHeight="1" s="62">
      <c r="A65" s="29" t="n">
        <v>56</v>
      </c>
      <c r="B65" s="29" t="inlineStr">
        <is>
          <t>DABC</t>
        </is>
      </c>
      <c r="C65" s="47">
        <f t="array" ref="C65">IFS(D65="","", D65="A","SE", D65="B","NW", D65="C","NE", D65="D","SW",D65="Omit", "")</f>
        <v/>
      </c>
      <c r="D65" s="51" t="n"/>
      <c r="E65" s="30">
        <f>IF(D65="","",IF(D65="A","Correct","Incorrect"))</f>
        <v/>
      </c>
      <c r="F65" s="53" t="n"/>
      <c r="G65" s="48" t="n"/>
      <c r="H65" s="30">
        <f t="array" ref="H65">IF($G65="","",TEXTJOIN("",TRUE,MID($B65,MID($G65,SEQUENCE(LEN($G65),1),1)+0,1)))</f>
        <v/>
      </c>
      <c r="I65" s="48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4.25" customHeight="1" s="62">
      <c r="A66" s="29" t="n">
        <v>57</v>
      </c>
      <c r="B66" s="29" t="inlineStr">
        <is>
          <t>ABCD</t>
        </is>
      </c>
      <c r="C66" s="47">
        <f t="array" ref="C66">IFS(D66="","", D66="A","SW", D66="B","SE", D66="C","NW", D66="D","NE",D66="Omit", "")</f>
        <v/>
      </c>
      <c r="D66" s="51" t="n"/>
      <c r="E66" s="30">
        <f>IF(D66="","",IF(D66="A","Correct","Incorrect"))</f>
        <v/>
      </c>
      <c r="F66" s="53" t="n"/>
      <c r="G66" s="48" t="n"/>
      <c r="H66" s="30">
        <f t="array" ref="H66">IF($G66="","",TEXTJOIN("",TRUE,MID($B66,MID($G66,SEQUENCE(LEN($G66),1),1)+0,1)))</f>
        <v/>
      </c>
      <c r="I66" s="48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4.25" customHeight="1" s="62">
      <c r="A67" s="29" t="n">
        <v>58</v>
      </c>
      <c r="B67" s="29" t="inlineStr">
        <is>
          <t>BCDA</t>
        </is>
      </c>
      <c r="C67" s="47">
        <f t="array" ref="C67">IFS(D67="","", D67="A","NE", D67="B","SW", D67="C","SE", D67="D","NW",D67="Omit", "")</f>
        <v/>
      </c>
      <c r="D67" s="51" t="n"/>
      <c r="E67" s="30">
        <f>IF(D67="","",IF(D67="A","Correct","Incorrect"))</f>
        <v/>
      </c>
      <c r="F67" s="53" t="n"/>
      <c r="G67" s="48" t="n"/>
      <c r="H67" s="30">
        <f t="array" ref="H67">IF($G67="","",TEXTJOIN("",TRUE,MID($B67,MID($G67,SEQUENCE(LEN($G67),1),1)+0,1)))</f>
        <v/>
      </c>
      <c r="I67" s="48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4.25" customHeight="1" s="62">
      <c r="A68" s="29" t="n">
        <v>59</v>
      </c>
      <c r="B68" s="29" t="inlineStr">
        <is>
          <t>CDAB</t>
        </is>
      </c>
      <c r="C68" s="47">
        <f t="array" ref="C68">IFS(D68="","", D68="A","NW", D68="B","NE", D68="C","SW", D68="D","SE",D68="Omit", "")</f>
        <v/>
      </c>
      <c r="D68" s="51" t="n"/>
      <c r="E68" s="30">
        <f>IF(D68="","",IF(D68="A","Correct","Incorrect"))</f>
        <v/>
      </c>
      <c r="F68" s="53" t="n"/>
      <c r="G68" s="48" t="n"/>
      <c r="H68" s="30">
        <f t="array" ref="H68">IF($G68="","",TEXTJOIN("",TRUE,MID($B68,MID($G68,SEQUENCE(LEN($G68),1),1)+0,1)))</f>
        <v/>
      </c>
      <c r="I68" s="48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4.25" customHeight="1" s="62">
      <c r="A69" s="29" t="n">
        <v>60</v>
      </c>
      <c r="B69" s="29" t="inlineStr">
        <is>
          <t>DABC</t>
        </is>
      </c>
      <c r="C69" s="47">
        <f t="array" ref="C69">IFS(D69="","", D69="A","SE", D69="B","NW", D69="C","NE", D69="D","SW",D69="Omit", "")</f>
        <v/>
      </c>
      <c r="D69" s="51" t="n"/>
      <c r="E69" s="30">
        <f>IF(D69="","",IF(D69="A","Correct","Incorrect"))</f>
        <v/>
      </c>
      <c r="F69" s="53" t="n"/>
      <c r="G69" s="48" t="n"/>
      <c r="H69" s="30">
        <f t="array" ref="H69">IF($G69="","",TEXTJOIN("",TRUE,MID($B69,MID($G69,SEQUENCE(LEN($G69),1),1)+0,1)))</f>
        <v/>
      </c>
      <c r="I69" s="48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4.25" customHeight="1" s="62">
      <c r="A70" s="29" t="n">
        <v>61</v>
      </c>
      <c r="B70" s="29" t="inlineStr">
        <is>
          <t>ABCD</t>
        </is>
      </c>
      <c r="C70" s="47">
        <f t="array" ref="C70">IFS(D70="","", D70="A","NW", D70="B","NE", D70="C","SW", D70="D","SE",D70="Omit", "")</f>
        <v/>
      </c>
      <c r="D70" s="51" t="n"/>
      <c r="E70" s="30">
        <f>IF(D70="","",IF(D70="A","Correct","Incorrect"))</f>
        <v/>
      </c>
      <c r="F70" s="53" t="n"/>
      <c r="G70" s="48" t="n"/>
      <c r="H70" s="30">
        <f t="array" ref="H70">IF($G70="","",TEXTJOIN("",TRUE,MID($B70,MID($G70,SEQUENCE(LEN($G70),1),1)+0,1)))</f>
        <v/>
      </c>
      <c r="I70" s="48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4.25" customHeight="1" s="62">
      <c r="A71" s="29" t="n">
        <v>62</v>
      </c>
      <c r="B71" s="29" t="inlineStr">
        <is>
          <t>BCDA</t>
        </is>
      </c>
      <c r="C71" s="47">
        <f t="array" ref="C71">IFS(D71="","", D71="A","SE", D71="B","NW", D71="C","NE", D71="D","SW",D71="Omit", "")</f>
        <v/>
      </c>
      <c r="D71" s="51" t="n"/>
      <c r="E71" s="30">
        <f>IF(D71="","",IF(D71="A","Correct","Incorrect"))</f>
        <v/>
      </c>
      <c r="F71" s="53" t="n"/>
      <c r="G71" s="48" t="n"/>
      <c r="H71" s="30">
        <f t="array" ref="H71">IF($G71="","",TEXTJOIN("",TRUE,MID($B71,MID($G71,SEQUENCE(LEN($G71),1),1)+0,1)))</f>
        <v/>
      </c>
      <c r="I71" s="48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4.25" customHeight="1" s="62">
      <c r="A72" s="29" t="n">
        <v>63</v>
      </c>
      <c r="B72" s="29" t="inlineStr">
        <is>
          <t>CDAB</t>
        </is>
      </c>
      <c r="C72" s="47">
        <f t="array" ref="C72">IFS(D72="","", D72="A","SW", D72="B","SE", D72="C","NW", D72="D","NE",D72="Omit", "")</f>
        <v/>
      </c>
      <c r="D72" s="51" t="n"/>
      <c r="E72" s="30">
        <f>IF(D72="","",IF(D72="A","Correct","Incorrect"))</f>
        <v/>
      </c>
      <c r="F72" s="53" t="n"/>
      <c r="G72" s="48" t="n"/>
      <c r="H72" s="30">
        <f t="array" ref="H72">IF($G72="","",TEXTJOIN("",TRUE,MID($B72,MID($G72,SEQUENCE(LEN($G72),1),1)+0,1)))</f>
        <v/>
      </c>
      <c r="I72" s="48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4.25" customHeight="1" s="62">
      <c r="A73" s="29" t="n">
        <v>64</v>
      </c>
      <c r="B73" s="29" t="inlineStr">
        <is>
          <t>DABC</t>
        </is>
      </c>
      <c r="C73" s="47">
        <f t="array" ref="C73">IFS(D73="","", D73="A","NE", D73="B","SW", D73="C","SE", D73="D","NW",D73="Omit", "")</f>
        <v/>
      </c>
      <c r="D73" s="51" t="n"/>
      <c r="E73" s="30">
        <f>IF(D73="","",IF(D73="A","Correct","Incorrect"))</f>
        <v/>
      </c>
      <c r="F73" s="53" t="n"/>
      <c r="G73" s="48" t="n"/>
      <c r="H73" s="30">
        <f t="array" ref="H73">IF($G73="","",TEXTJOIN("",TRUE,MID($B73,MID($G73,SEQUENCE(LEN($G73),1),1)+0,1)))</f>
        <v/>
      </c>
      <c r="I73" s="48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4.25" customHeight="1" s="62">
      <c r="A74" s="29" t="n">
        <v>65</v>
      </c>
      <c r="B74" s="29" t="inlineStr">
        <is>
          <t>ABCD</t>
        </is>
      </c>
      <c r="C74" s="47">
        <f t="array" ref="C74">IFS(D74="","", D74="A","NW", D74="B","NE", D74="C","SW", D74="D","SE",D74="Omit", "")</f>
        <v/>
      </c>
      <c r="D74" s="51" t="n"/>
      <c r="E74" s="30">
        <f>IF(D74="","",IF(D74="A","Correct","Incorrect"))</f>
        <v/>
      </c>
      <c r="F74" s="53" t="n"/>
      <c r="G74" s="48" t="n"/>
      <c r="H74" s="30">
        <f t="array" ref="H74">IF($G74="","",TEXTJOIN("",TRUE,MID($B74,MID($G74,SEQUENCE(LEN($G74),1),1)+0,1)))</f>
        <v/>
      </c>
      <c r="I74" s="48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4.25" customHeight="1" s="62">
      <c r="A75" s="29" t="n">
        <v>66</v>
      </c>
      <c r="B75" s="29" t="inlineStr">
        <is>
          <t>BCDA</t>
        </is>
      </c>
      <c r="C75" s="47">
        <f t="array" ref="C75">IFS(D75="","", D75="A","SE", D75="B","NW", D75="C","NE", D75="D","SW",D75="Omit", "")</f>
        <v/>
      </c>
      <c r="D75" s="51" t="n"/>
      <c r="E75" s="30">
        <f>IF(D75="","",IF(D75="A","Correct","Incorrect"))</f>
        <v/>
      </c>
      <c r="F75" s="53" t="n"/>
      <c r="G75" s="48" t="n"/>
      <c r="H75" s="30">
        <f t="array" ref="H75">IF($G75="","",TEXTJOIN("",TRUE,MID($B75,MID($G75,SEQUENCE(LEN($G75),1),1)+0,1)))</f>
        <v/>
      </c>
      <c r="I75" s="48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4.25" customHeight="1" s="62">
      <c r="A76" s="29" t="n">
        <v>67</v>
      </c>
      <c r="B76" s="29" t="inlineStr">
        <is>
          <t>CDAB</t>
        </is>
      </c>
      <c r="C76" s="47">
        <f t="array" ref="C76">IFS(D76="","", D76="A","SW", D76="B","SE", D76="C","NW", D76="D","NE",D76="Omit", "")</f>
        <v/>
      </c>
      <c r="D76" s="51" t="n"/>
      <c r="E76" s="30">
        <f>IF(D76="","",IF(D76="A","Correct","Incorrect"))</f>
        <v/>
      </c>
      <c r="F76" s="53" t="n"/>
      <c r="G76" s="48" t="n"/>
      <c r="H76" s="30">
        <f t="array" ref="H76">IF($G76="","",TEXTJOIN("",TRUE,MID($B76,MID($G76,SEQUENCE(LEN($G76),1),1)+0,1)))</f>
        <v/>
      </c>
      <c r="I76" s="48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4.25" customHeight="1" s="62">
      <c r="A77" s="29" t="n">
        <v>68</v>
      </c>
      <c r="B77" s="29" t="inlineStr">
        <is>
          <t>DABC</t>
        </is>
      </c>
      <c r="C77" s="47">
        <f t="array" ref="C77">IFS(D77="","", D77="A","NE", D77="B","SW", D77="C","SE", D77="D","NW",D77="Omit", "")</f>
        <v/>
      </c>
      <c r="D77" s="51" t="n"/>
      <c r="E77" s="30">
        <f>IF(D77="","",IF(D77="A","Correct","Incorrect"))</f>
        <v/>
      </c>
      <c r="F77" s="53" t="n"/>
      <c r="G77" s="48" t="n"/>
      <c r="H77" s="30">
        <f t="array" ref="H77">IF($G77="","",TEXTJOIN("",TRUE,MID($B77,MID($G77,SEQUENCE(LEN($G77),1),1)+0,1)))</f>
        <v/>
      </c>
      <c r="I77" s="48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4.25" customHeight="1" s="62">
      <c r="A78" s="29" t="n">
        <v>69</v>
      </c>
      <c r="B78" s="29" t="inlineStr">
        <is>
          <t>ABCD</t>
        </is>
      </c>
      <c r="C78" s="47">
        <f t="array" ref="C78">IFS(D78="","", D78="A","NW", D78="B","NE", D78="C","SW", D78="D","SE",D78="Omit", "")</f>
        <v/>
      </c>
      <c r="D78" s="51" t="n"/>
      <c r="E78" s="30">
        <f>IF(D78="","",IF(D78="A","Correct","Incorrect"))</f>
        <v/>
      </c>
      <c r="F78" s="53" t="n"/>
      <c r="G78" s="48" t="n"/>
      <c r="H78" s="30">
        <f t="array" ref="H78">IF($G78="","",TEXTJOIN("",TRUE,MID($B78,MID($G78,SEQUENCE(LEN($G78),1),1)+0,1)))</f>
        <v/>
      </c>
      <c r="I78" s="48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4.25" customHeight="1" s="62">
      <c r="A79" s="29" t="n">
        <v>70</v>
      </c>
      <c r="B79" s="29" t="inlineStr">
        <is>
          <t>BCDA</t>
        </is>
      </c>
      <c r="C79" s="47">
        <f t="array" ref="C79">IFS(D79="","", D79="A","SE", D79="B","NW", D79="C","NE", D79="D","SW",D79="Omit", "")</f>
        <v/>
      </c>
      <c r="D79" s="51" t="n"/>
      <c r="E79" s="30">
        <f>IF(D79="","",IF(D79="A","Correct","Incorrect"))</f>
        <v/>
      </c>
      <c r="F79" s="53" t="n"/>
      <c r="G79" s="48" t="n"/>
      <c r="H79" s="30">
        <f t="array" ref="H79">IF($G79="","",TEXTJOIN("",TRUE,MID($B79,MID($G79,SEQUENCE(LEN($G79),1),1)+0,1)))</f>
        <v/>
      </c>
      <c r="I79" s="48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>
      <c r="A80" s="29" t="n">
        <v>71</v>
      </c>
      <c r="B80" s="29" t="inlineStr">
        <is>
          <t>CDAB</t>
        </is>
      </c>
      <c r="C80" s="47">
        <f t="array" ref="C80">IFS(D80="","", D80="A","SW", D80="B","SE", D80="C","NW", D80="D","NE",D80="Omit", "")</f>
        <v/>
      </c>
      <c r="D80" s="51" t="n"/>
      <c r="E80" s="30">
        <f>IF(D80="","",IF(D80="A","Correct","Incorrect"))</f>
        <v/>
      </c>
      <c r="F80" s="29" t="n"/>
      <c r="G80" s="29" t="n"/>
      <c r="H80" s="30">
        <f t="array" ref="H80">IF($G80="","",TEXTJOIN("",TRUE,MID($B80,MID($G80,SEQUENCE(LEN($G80),1),1)+0,1)))</f>
        <v/>
      </c>
      <c r="I80" s="29" t="n"/>
    </row>
    <row r="81">
      <c r="A81" s="29" t="n">
        <v>72</v>
      </c>
      <c r="B81" s="29" t="inlineStr">
        <is>
          <t>DABC</t>
        </is>
      </c>
      <c r="C81" s="47">
        <f t="array" ref="C81">IFS(D81="","", D81="A","NE", D81="B","SW", D81="C","SE", D81="D","NW",D81="Omit", "")</f>
        <v/>
      </c>
      <c r="D81" s="51" t="n"/>
      <c r="E81" s="30">
        <f>IF(D81="","",IF(D81="A","Correct","Incorrect"))</f>
        <v/>
      </c>
      <c r="F81" s="29" t="n"/>
      <c r="G81" s="29" t="n"/>
      <c r="H81" s="30">
        <f t="array" ref="H81">IF($G81="","",TEXTJOIN("",TRUE,MID($B81,MID($G81,SEQUENCE(LEN($G81),1),1)+0,1)))</f>
        <v/>
      </c>
      <c r="I81" s="29" t="n"/>
    </row>
    <row r="82">
      <c r="A82" s="29" t="n">
        <v>73</v>
      </c>
      <c r="B82" s="29" t="inlineStr">
        <is>
          <t>ABCD</t>
        </is>
      </c>
      <c r="C82" s="47">
        <f t="array" ref="C82">IFS(D82="","", D82="A","NW", D82="B","NE", D82="C","SW", D82="D","SE",D82="Omit", "")</f>
        <v/>
      </c>
      <c r="D82" s="51" t="n"/>
      <c r="E82" s="30">
        <f>IF(D82="","",IF(D82="A","Correct","Incorrect"))</f>
        <v/>
      </c>
      <c r="F82" s="29" t="n"/>
      <c r="G82" s="29" t="n"/>
      <c r="H82" s="30">
        <f t="array" ref="H82">IF($G82="","",TEXTJOIN("",TRUE,MID($B82,MID($G82,SEQUENCE(LEN($G82),1),1)+0,1)))</f>
        <v/>
      </c>
      <c r="I82" s="29" t="n"/>
    </row>
    <row r="83">
      <c r="A83" s="29" t="n">
        <v>74</v>
      </c>
      <c r="B83" s="29" t="inlineStr">
        <is>
          <t>BCDA</t>
        </is>
      </c>
      <c r="C83" s="47">
        <f t="array" ref="C83">IFS(D83="","", D83="A","SE", D83="B","NW", D83="C","NE", D83="D","SW",D83="Omit", "")</f>
        <v/>
      </c>
      <c r="D83" s="51" t="n"/>
      <c r="E83" s="30">
        <f>IF(D83="","",IF(D83="A","Correct","Incorrect"))</f>
        <v/>
      </c>
      <c r="F83" s="29" t="n"/>
      <c r="G83" s="29" t="n"/>
      <c r="H83" s="30">
        <f t="array" ref="H83">IF($G83="","",TEXTJOIN("",TRUE,MID($B83,MID($G83,SEQUENCE(LEN($G83),1),1)+0,1)))</f>
        <v/>
      </c>
      <c r="I83" s="29" t="n"/>
    </row>
    <row r="84">
      <c r="A84" s="29" t="n">
        <v>75</v>
      </c>
      <c r="B84" s="29" t="inlineStr">
        <is>
          <t>CDAB</t>
        </is>
      </c>
      <c r="C84" s="47">
        <f t="array" ref="C84">IFS(D84="","", D84="A","SW", D84="B","SE", D84="C","NW", D84="D","NE",D84="Omit", "")</f>
        <v/>
      </c>
      <c r="D84" s="51" t="n"/>
      <c r="E84" s="30">
        <f>IF(D84="","",IF(D84="A","Correct","Incorrect"))</f>
        <v/>
      </c>
      <c r="F84" s="29" t="n"/>
      <c r="G84" s="29" t="n"/>
      <c r="H84" s="30">
        <f t="array" ref="H84">IF($G84="","",TEXTJOIN("",TRUE,MID($B84,MID($G84,SEQUENCE(LEN($G84),1),1)+0,1)))</f>
        <v/>
      </c>
      <c r="I84" s="29" t="n"/>
    </row>
    <row r="85">
      <c r="A85" s="29" t="n">
        <v>76</v>
      </c>
      <c r="B85" s="29" t="inlineStr">
        <is>
          <t>DABC</t>
        </is>
      </c>
      <c r="C85" s="47">
        <f t="array" ref="C85">IFS(D85="","", D85="A","NE", D85="B","SW", D85="C","SE", D85="D","NW",D85="Omit", "")</f>
        <v/>
      </c>
      <c r="D85" s="51" t="n"/>
      <c r="E85" s="30">
        <f>IF(D85="","",IF(D85="A","Correct","Incorrect"))</f>
        <v/>
      </c>
      <c r="F85" s="29" t="n"/>
      <c r="G85" s="29" t="n"/>
      <c r="H85" s="30">
        <f t="array" ref="H85">IF($G85="","",TEXTJOIN("",TRUE,MID($B85,MID($G85,SEQUENCE(LEN($G85),1),1)+0,1)))</f>
        <v/>
      </c>
      <c r="I85" s="29" t="n"/>
    </row>
    <row r="86">
      <c r="A86" s="29" t="n">
        <v>77</v>
      </c>
      <c r="B86" s="29" t="inlineStr">
        <is>
          <t>ABCD</t>
        </is>
      </c>
      <c r="C86" s="47">
        <f t="array" ref="C86">IFS(D86="","", D86="A","NW", D86="B","NE", D86="C","SW", D86="D","SE",D86="Omit", "")</f>
        <v/>
      </c>
      <c r="D86" s="51" t="n"/>
      <c r="E86" s="30">
        <f>IF(D86="","",IF(D86="A","Correct","Incorrect"))</f>
        <v/>
      </c>
      <c r="F86" s="29" t="n"/>
      <c r="G86" s="29" t="n"/>
      <c r="H86" s="30">
        <f t="array" ref="H86">IF($G86="","",TEXTJOIN("",TRUE,MID($B86,MID($G86,SEQUENCE(LEN($G86),1),1)+0,1)))</f>
        <v/>
      </c>
      <c r="I86" s="29" t="n"/>
    </row>
    <row r="87">
      <c r="A87" s="29" t="n">
        <v>78</v>
      </c>
      <c r="B87" s="29" t="inlineStr">
        <is>
          <t>BCDA</t>
        </is>
      </c>
      <c r="C87" s="47">
        <f t="array" ref="C87">IFS(D87="","", D87="A","SE", D87="B","NW", D87="C","NE", D87="D","SW",D87="Omit", "")</f>
        <v/>
      </c>
      <c r="D87" s="51" t="n"/>
      <c r="E87" s="30">
        <f>IF(D87="","",IF(D87="A","Correct","Incorrect"))</f>
        <v/>
      </c>
      <c r="F87" s="29" t="n"/>
      <c r="G87" s="29" t="n"/>
      <c r="H87" s="30">
        <f t="array" ref="H87">IF($G87="","",TEXTJOIN("",TRUE,MID($B87,MID($G87,SEQUENCE(LEN($G87),1),1)+0,1)))</f>
        <v/>
      </c>
      <c r="I87" s="29" t="n"/>
    </row>
    <row r="88">
      <c r="A88" s="29" t="n">
        <v>79</v>
      </c>
      <c r="B88" s="29" t="inlineStr">
        <is>
          <t>CDAB</t>
        </is>
      </c>
      <c r="C88" s="47">
        <f t="array" ref="C88">IFS(D88="","", D88="A","SW", D88="B","SE", D88="C","NW", D88="D","NE",D88="Omit", "")</f>
        <v/>
      </c>
      <c r="D88" s="51" t="n"/>
      <c r="E88" s="30">
        <f>IF(D88="","",IF(D88="A","Correct","Incorrect"))</f>
        <v/>
      </c>
      <c r="F88" s="29" t="n"/>
      <c r="G88" s="29" t="n"/>
      <c r="H88" s="30">
        <f t="array" ref="H88">IF($G88="","",TEXTJOIN("",TRUE,MID($B88,MID($G88,SEQUENCE(LEN($G88),1),1)+0,1)))</f>
        <v/>
      </c>
      <c r="I88" s="29" t="n"/>
    </row>
    <row r="89">
      <c r="A89" s="29" t="n">
        <v>80</v>
      </c>
      <c r="B89" s="29" t="inlineStr">
        <is>
          <t>DABC</t>
        </is>
      </c>
      <c r="C89" s="47">
        <f t="array" ref="C89">IFS(D89="","", D89="A","NE", D89="B","SW", D89="C","SE", D89="D","NW",D89="Omit", "")</f>
        <v/>
      </c>
      <c r="D89" s="51" t="n"/>
      <c r="E89" s="30">
        <f>IF(D89="","",IF(D89="A","Correct","Incorrect"))</f>
        <v/>
      </c>
      <c r="F89" s="29" t="n"/>
      <c r="G89" s="29" t="n"/>
      <c r="H89" s="30">
        <f t="array" ref="H89">IF($G89="","",TEXTJOIN("",TRUE,MID($B89,MID($G89,SEQUENCE(LEN($G89),1),1)+0,1)))</f>
        <v/>
      </c>
      <c r="I89" s="29" t="n"/>
    </row>
    <row r="90">
      <c r="A90" s="29" t="n">
        <v>81</v>
      </c>
      <c r="B90" s="29" t="inlineStr">
        <is>
          <t>ABCD</t>
        </is>
      </c>
      <c r="C90" s="47">
        <f t="array" ref="C90">IFS(D90="","", D90="A","NW", D90="B","NE", D90="C","SW", D90="D","SE",D90="Omit", "")</f>
        <v/>
      </c>
      <c r="D90" s="51" t="n"/>
      <c r="E90" s="30">
        <f>IF(D90="","",IF(D90="A","Correct","Incorrect"))</f>
        <v/>
      </c>
      <c r="F90" s="29" t="n"/>
      <c r="G90" s="29" t="n"/>
      <c r="H90" s="30">
        <f t="array" ref="H90">IF($G90="","",TEXTJOIN("",TRUE,MID($B90,MID($G90,SEQUENCE(LEN($G90),1),1)+0,1)))</f>
        <v/>
      </c>
      <c r="I90" s="29" t="n"/>
    </row>
    <row r="91">
      <c r="A91" s="29" t="n">
        <v>82</v>
      </c>
      <c r="B91" s="29" t="inlineStr">
        <is>
          <t>BCDA</t>
        </is>
      </c>
      <c r="C91" s="47">
        <f t="array" ref="C91">IFS(D91="","", D91="A","SE", D91="B","NW", D91="C","NE", D91="D","SW",D91="Omit", "")</f>
        <v/>
      </c>
      <c r="D91" s="51" t="n"/>
      <c r="E91" s="30">
        <f>IF(D91="","",IF(D91="A","Correct","Incorrect"))</f>
        <v/>
      </c>
      <c r="F91" s="29" t="n"/>
      <c r="G91" s="29" t="n"/>
      <c r="H91" s="30">
        <f t="array" ref="H91">IF($G91="","",TEXTJOIN("",TRUE,MID($B91,MID($G91,SEQUENCE(LEN($G91),1),1)+0,1)))</f>
        <v/>
      </c>
      <c r="I91" s="29" t="n"/>
    </row>
    <row r="92">
      <c r="A92" s="29" t="n">
        <v>83</v>
      </c>
      <c r="B92" s="29" t="inlineStr">
        <is>
          <t>CDAB</t>
        </is>
      </c>
      <c r="C92" s="47">
        <f t="array" ref="C92">IFS(D92="","", D92="A","SW", D92="B","SE", D92="C","NW", D92="D","NE",D92="Omit", "")</f>
        <v/>
      </c>
      <c r="D92" s="51" t="n"/>
      <c r="E92" s="30">
        <f>IF(D92="","",IF(D92="A","Correct","Incorrect"))</f>
        <v/>
      </c>
      <c r="F92" s="29" t="n"/>
      <c r="G92" s="29" t="n"/>
      <c r="H92" s="30">
        <f t="array" ref="H92">IF($G92="","",TEXTJOIN("",TRUE,MID($B92,MID($G92,SEQUENCE(LEN($G92),1),1)+0,1)))</f>
        <v/>
      </c>
      <c r="I92" s="29" t="n"/>
    </row>
    <row r="93">
      <c r="A93" s="29" t="n">
        <v>84</v>
      </c>
      <c r="B93" s="29" t="inlineStr">
        <is>
          <t>DABC</t>
        </is>
      </c>
      <c r="C93" s="47">
        <f t="array" ref="C93">IFS(D93="","", D93="A","NE", D93="B","SW", D93="C","SE", D93="D","NW",D93="Omit", "")</f>
        <v/>
      </c>
      <c r="D93" s="51" t="n"/>
      <c r="E93" s="30">
        <f>IF(D93="","",IF(D93="A","Correct","Incorrect"))</f>
        <v/>
      </c>
      <c r="F93" s="29" t="n"/>
      <c r="G93" s="29" t="n"/>
      <c r="H93" s="30">
        <f t="array" ref="H93">IF($G93="","",TEXTJOIN("",TRUE,MID($B93,MID($G93,SEQUENCE(LEN($G93),1),1)+0,1)))</f>
        <v/>
      </c>
      <c r="I93" s="29" t="n"/>
    </row>
    <row r="94">
      <c r="A94" s="29" t="n">
        <v>85</v>
      </c>
      <c r="B94" s="29" t="inlineStr">
        <is>
          <t>ABCD</t>
        </is>
      </c>
      <c r="C94" s="47">
        <f t="array" ref="C94">IFS(D94="","", D94="A","NW", D94="B","NE", D94="C","SW", D94="D","SE",D94="Omit", "")</f>
        <v/>
      </c>
      <c r="D94" s="51" t="n"/>
      <c r="E94" s="30">
        <f>IF(D94="","",IF(D94="A","Correct","Incorrect"))</f>
        <v/>
      </c>
      <c r="F94" s="29" t="n"/>
      <c r="G94" s="29" t="n"/>
      <c r="H94" s="30">
        <f t="array" ref="H94">IF($G94="","",TEXTJOIN("",TRUE,MID($B94,MID($G94,SEQUENCE(LEN($G94),1),1)+0,1)))</f>
        <v/>
      </c>
      <c r="I94" s="29" t="n"/>
    </row>
    <row r="95">
      <c r="A95" s="29" t="n">
        <v>86</v>
      </c>
      <c r="B95" s="29" t="inlineStr">
        <is>
          <t>BCDA</t>
        </is>
      </c>
      <c r="C95" s="47">
        <f t="array" ref="C95">IFS(D95="","", D95="A","SE", D95="B","NW", D95="C","NE", D95="D","SW",D95="Omit", "")</f>
        <v/>
      </c>
      <c r="D95" s="51" t="n"/>
      <c r="E95" s="30">
        <f>IF(D95="","",IF(D95="A","Correct","Incorrect"))</f>
        <v/>
      </c>
      <c r="F95" s="29" t="n"/>
      <c r="G95" s="29" t="n"/>
      <c r="H95" s="30">
        <f t="array" ref="H95">IF($G95="","",TEXTJOIN("",TRUE,MID($B95,MID($G95,SEQUENCE(LEN($G95),1),1)+0,1)))</f>
        <v/>
      </c>
      <c r="I95" s="29" t="n"/>
    </row>
    <row r="96">
      <c r="A96" s="29" t="n">
        <v>87</v>
      </c>
      <c r="B96" s="29" t="inlineStr">
        <is>
          <t>CDAB</t>
        </is>
      </c>
      <c r="C96" s="47">
        <f t="array" ref="C96">IFS(D96="","", D96="A","SW", D96="B","SE", D96="C","NW", D96="D","NE",D96="Omit", "")</f>
        <v/>
      </c>
      <c r="D96" s="51" t="n"/>
      <c r="E96" s="30">
        <f>IF(D96="","",IF(D96="A","Correct","Incorrect"))</f>
        <v/>
      </c>
      <c r="F96" s="29" t="n"/>
      <c r="G96" s="29" t="n"/>
      <c r="H96" s="30">
        <f t="array" ref="H96">IF($G96="","",TEXTJOIN("",TRUE,MID($B96,MID($G96,SEQUENCE(LEN($G96),1),1)+0,1)))</f>
        <v/>
      </c>
      <c r="I96" s="29" t="n"/>
    </row>
    <row r="97">
      <c r="A97" s="29" t="n">
        <v>88</v>
      </c>
      <c r="B97" s="29" t="inlineStr">
        <is>
          <t>DABC</t>
        </is>
      </c>
      <c r="C97" s="47">
        <f t="array" ref="C97">IFS(D97="","", D97="A","NE", D97="B","SW", D97="C","SE", D97="D","NW",D97="Omit", "")</f>
        <v/>
      </c>
      <c r="D97" s="51" t="n"/>
      <c r="E97" s="30">
        <f>IF(D97="","",IF(D97="A","Correct","Incorrect"))</f>
        <v/>
      </c>
      <c r="F97" s="29" t="n"/>
      <c r="G97" s="29" t="n"/>
      <c r="H97" s="30">
        <f t="array" ref="H97">IF($G97="","",TEXTJOIN("",TRUE,MID($B97,MID($G97,SEQUENCE(LEN($G97),1),1)+0,1)))</f>
        <v/>
      </c>
      <c r="I97" s="29" t="n"/>
    </row>
    <row r="98">
      <c r="A98" s="29" t="n">
        <v>89</v>
      </c>
      <c r="B98" s="29" t="inlineStr">
        <is>
          <t>ABCD</t>
        </is>
      </c>
      <c r="C98" s="47">
        <f t="array" ref="C98">IFS(D98="","", D98="A","NW", D98="B","NE", D98="C","SW", D98="D","SE",D98="Omit", "")</f>
        <v/>
      </c>
      <c r="D98" s="51" t="n"/>
      <c r="E98" s="30">
        <f>IF(D98="","",IF(D98="A","Correct","Incorrect"))</f>
        <v/>
      </c>
      <c r="F98" s="29" t="n"/>
      <c r="G98" s="29" t="n"/>
      <c r="H98" s="30">
        <f t="array" ref="H98">IF($G98="","",TEXTJOIN("",TRUE,MID($B98,MID($G98,SEQUENCE(LEN($G98),1),1)+0,1)))</f>
        <v/>
      </c>
      <c r="I98" s="29" t="n"/>
    </row>
    <row r="99">
      <c r="A99" s="29" t="n">
        <v>90</v>
      </c>
      <c r="B99" s="29" t="inlineStr">
        <is>
          <t>BCDA</t>
        </is>
      </c>
      <c r="C99" s="47">
        <f t="array" ref="C99">IFS(D99="","", D99="A","SE", D99="B","NW", D99="C","NE", D99="D","SW",D99="Omit", "")</f>
        <v/>
      </c>
      <c r="D99" s="51" t="n"/>
      <c r="E99" s="30">
        <f>IF(D99="","",IF(D99="A","Correct","Incorrect"))</f>
        <v/>
      </c>
      <c r="F99" s="29" t="n"/>
      <c r="G99" s="29" t="n"/>
      <c r="H99" s="30">
        <f t="array" ref="H99">IF($G99="","",TEXTJOIN("",TRUE,MID($B99,MID($G99,SEQUENCE(LEN($G99),1),1)+0,1)))</f>
        <v/>
      </c>
      <c r="I99" s="29" t="n"/>
    </row>
    <row r="100">
      <c r="A100" s="29" t="n">
        <v>91</v>
      </c>
      <c r="B100" s="29" t="inlineStr">
        <is>
          <t>CDAB</t>
        </is>
      </c>
      <c r="C100" s="47">
        <f t="array" ref="C100">IFS(D100="","", D100="A","NW", D100="B","NE", D100="C","SW", D100="D","SE",D100="Omit", "")</f>
        <v/>
      </c>
      <c r="D100" s="51" t="n"/>
      <c r="E100" s="30">
        <f>IF(D100="","",IF(D100="A","Correct","Incorrect"))</f>
        <v/>
      </c>
      <c r="F100" s="29" t="n"/>
      <c r="G100" s="29" t="n"/>
      <c r="H100" s="30">
        <f t="array" ref="H100">IF($G100="","",TEXTJOIN("",TRUE,MID($B100,MID($G100,SEQUENCE(LEN($G100),1),1)+0,1)))</f>
        <v/>
      </c>
      <c r="I100" s="29" t="n"/>
    </row>
    <row r="101">
      <c r="A101" s="29" t="n">
        <v>92</v>
      </c>
      <c r="B101" s="29" t="inlineStr">
        <is>
          <t>DABC</t>
        </is>
      </c>
      <c r="C101" s="47">
        <f t="array" ref="C101">IFS(D101="","", D101="A","SE", D101="B","NW", D101="C","NE", D101="D","SW",D101="Omit", "")</f>
        <v/>
      </c>
      <c r="D101" s="51" t="n"/>
      <c r="E101" s="30">
        <f>IF(D101="","",IF(D101="A","Correct","Incorrect"))</f>
        <v/>
      </c>
      <c r="F101" s="29" t="n"/>
      <c r="G101" s="29" t="n"/>
      <c r="H101" s="30">
        <f t="array" ref="H101">IF($G101="","",TEXTJOIN("",TRUE,MID($B101,MID($G101,SEQUENCE(LEN($G101),1),1)+0,1)))</f>
        <v/>
      </c>
      <c r="I101" s="29" t="n"/>
    </row>
    <row r="102">
      <c r="A102" s="29" t="n">
        <v>93</v>
      </c>
      <c r="B102" s="29" t="inlineStr">
        <is>
          <t>ABCD</t>
        </is>
      </c>
      <c r="C102" s="47">
        <f t="array" ref="C102">IFS(D102="","", D102="A","SW", D102="B","SE", D102="C","NW", D102="D","NE",D102="Omit", "")</f>
        <v/>
      </c>
      <c r="D102" s="51" t="n"/>
      <c r="E102" s="30">
        <f>IF(D102="","",IF(D102="A","Correct","Incorrect"))</f>
        <v/>
      </c>
      <c r="F102" s="29" t="n"/>
      <c r="G102" s="29" t="n"/>
      <c r="H102" s="30">
        <f t="array" ref="H102">IF($G102="","",TEXTJOIN("",TRUE,MID($B102,MID($G102,SEQUENCE(LEN($G102),1),1)+0,1)))</f>
        <v/>
      </c>
      <c r="I102" s="29" t="n"/>
    </row>
    <row r="103">
      <c r="A103" s="29" t="n">
        <v>94</v>
      </c>
      <c r="B103" s="29" t="inlineStr">
        <is>
          <t>BCDA</t>
        </is>
      </c>
      <c r="C103" s="47">
        <f t="array" ref="C103">IFS(D103="","", D103="A","NE", D103="B","SW", D103="C","SE", D103="D","NW",D103="Omit", "")</f>
        <v/>
      </c>
      <c r="D103" s="51" t="n"/>
      <c r="E103" s="30">
        <f>IF(D103="","",IF(D103="A","Correct","Incorrect"))</f>
        <v/>
      </c>
      <c r="F103" s="29" t="n"/>
      <c r="G103" s="29" t="n"/>
      <c r="H103" s="30">
        <f t="array" ref="H103">IF($G103="","",TEXTJOIN("",TRUE,MID($B103,MID($G103,SEQUENCE(LEN($G103),1),1)+0,1)))</f>
        <v/>
      </c>
      <c r="I103" s="29" t="n"/>
    </row>
    <row r="104">
      <c r="A104" s="29" t="n">
        <v>95</v>
      </c>
      <c r="B104" s="29" t="inlineStr">
        <is>
          <t>CDAB</t>
        </is>
      </c>
      <c r="C104" s="47">
        <f t="array" ref="C104">IFS(D104="","", D104="A","NW", D104="B","NE", D104="C","SW", D104="D","SE",D104="Omit", "")</f>
        <v/>
      </c>
      <c r="D104" s="51" t="n"/>
      <c r="E104" s="30">
        <f>IF(D104="","",IF(D104="A","Correct","Incorrect"))</f>
        <v/>
      </c>
      <c r="F104" s="29" t="n"/>
      <c r="G104" s="29" t="n"/>
      <c r="H104" s="30">
        <f t="array" ref="H104">IF($G104="","",TEXTJOIN("",TRUE,MID($B104,MID($G104,SEQUENCE(LEN($G104),1),1)+0,1)))</f>
        <v/>
      </c>
      <c r="I104" s="29" t="n"/>
    </row>
    <row r="105">
      <c r="A105" s="29" t="n">
        <v>96</v>
      </c>
      <c r="B105" s="29" t="inlineStr">
        <is>
          <t>DABC</t>
        </is>
      </c>
      <c r="C105" s="47">
        <f t="array" ref="C105">IFS(D105="","", D105="A","SE", D105="B","NW", D105="C","NE", D105="D","SW",D105="Omit", "")</f>
        <v/>
      </c>
      <c r="D105" s="51" t="n"/>
      <c r="E105" s="30">
        <f>IF(D105="","",IF(D105="A","Correct","Incorrect"))</f>
        <v/>
      </c>
      <c r="F105" s="29" t="n"/>
      <c r="G105" s="29" t="n"/>
      <c r="H105" s="30">
        <f t="array" ref="H105">IF($G105="","",TEXTJOIN("",TRUE,MID($B105,MID($G105,SEQUENCE(LEN($G105),1),1)+0,1)))</f>
        <v/>
      </c>
      <c r="I105" s="29" t="n"/>
    </row>
    <row r="106">
      <c r="A106" s="29" t="n">
        <v>97</v>
      </c>
      <c r="B106" s="29" t="inlineStr">
        <is>
          <t>ABCD</t>
        </is>
      </c>
      <c r="C106" s="47">
        <f t="array" ref="C106">IFS(D106="","", D106="A","SW", D106="B","SE", D106="C","NW", D106="D","NE",D106="Omit", "")</f>
        <v/>
      </c>
      <c r="D106" s="51" t="n"/>
      <c r="E106" s="30">
        <f>IF(D106="","",IF(D106="A","Correct","Incorrect"))</f>
        <v/>
      </c>
      <c r="F106" s="29" t="n"/>
      <c r="G106" s="29" t="n"/>
      <c r="H106" s="30">
        <f t="array" ref="H106">IF($G106="","",TEXTJOIN("",TRUE,MID($B106,MID($G106,SEQUENCE(LEN($G106),1),1)+0,1)))</f>
        <v/>
      </c>
      <c r="I106" s="29" t="n"/>
    </row>
    <row r="107">
      <c r="A107" s="29" t="n">
        <v>98</v>
      </c>
      <c r="B107" s="29" t="inlineStr">
        <is>
          <t>BCDA</t>
        </is>
      </c>
      <c r="C107" s="47">
        <f t="array" ref="C107">IFS(D107="","", D107="A","NE", D107="B","SW", D107="C","SE", D107="D","NW",D107="Omit", "")</f>
        <v/>
      </c>
      <c r="D107" s="51" t="n"/>
      <c r="E107" s="30">
        <f>IF(D107="","",IF(D107="A","Correct","Incorrect"))</f>
        <v/>
      </c>
      <c r="F107" s="29" t="n"/>
      <c r="G107" s="29" t="n"/>
      <c r="H107" s="30">
        <f t="array" ref="H107">IF($G107="","",TEXTJOIN("",TRUE,MID($B107,MID($G107,SEQUENCE(LEN($G107),1),1)+0,1)))</f>
        <v/>
      </c>
      <c r="I107" s="29" t="n"/>
    </row>
    <row r="108">
      <c r="A108" s="29" t="n">
        <v>99</v>
      </c>
      <c r="B108" s="29" t="inlineStr">
        <is>
          <t>CDAB</t>
        </is>
      </c>
      <c r="C108" s="47">
        <f t="array" ref="C108">IFS(D108="","", D108="A","NW", D108="B","NE", D108="C","SW", D108="D","SE",D108="Omit", "")</f>
        <v/>
      </c>
      <c r="D108" s="51" t="n"/>
      <c r="E108" s="30">
        <f>IF(D108="","",IF(D108="A","Correct","Incorrect"))</f>
        <v/>
      </c>
      <c r="F108" s="29" t="n"/>
      <c r="G108" s="29" t="n"/>
      <c r="H108" s="30">
        <f t="array" ref="H108">IF($G108="","",TEXTJOIN("",TRUE,MID($B108,MID($G108,SEQUENCE(LEN($G108),1),1)+0,1)))</f>
        <v/>
      </c>
      <c r="I108" s="29" t="n"/>
    </row>
    <row r="109">
      <c r="A109" s="29" t="n">
        <v>100</v>
      </c>
      <c r="B109" s="29" t="inlineStr">
        <is>
          <t>DABC</t>
        </is>
      </c>
      <c r="C109" s="47">
        <f t="array" ref="C109">IFS(D109="","", D109="A","SE", D109="B","NW", D109="C","NE", D109="D","SW",D109="Omit", "")</f>
        <v/>
      </c>
      <c r="D109" s="51" t="n"/>
      <c r="E109" s="30">
        <f>IF(D109="","",IF(D109="A","Correct","Incorrect"))</f>
        <v/>
      </c>
      <c r="F109" s="29" t="n"/>
      <c r="G109" s="29" t="n"/>
      <c r="H109" s="30">
        <f t="array" ref="H109">IF($G109="","",TEXTJOIN("",TRUE,MID($B109,MID($G109,SEQUENCE(LEN($G109),1),1)+0,1)))</f>
        <v/>
      </c>
      <c r="I109" s="29" t="n"/>
    </row>
    <row r="110">
      <c r="A110" s="29" t="n">
        <v>101</v>
      </c>
      <c r="B110" s="29" t="inlineStr">
        <is>
          <t>ABCD</t>
        </is>
      </c>
      <c r="C110" s="47">
        <f t="array" ref="C110">IFS(D110="","", D110="A","SW", D110="B","SE", D110="C","NW", D110="D","NE",D110="Omit", "")</f>
        <v/>
      </c>
      <c r="D110" s="51" t="n"/>
      <c r="E110" s="30">
        <f>IF(D110="","",IF(D110="A","Correct","Incorrect"))</f>
        <v/>
      </c>
      <c r="F110" s="29" t="n"/>
      <c r="G110" s="29" t="n"/>
      <c r="H110" s="30">
        <f t="array" ref="H110">IF($G110="","",TEXTJOIN("",TRUE,MID($B110,MID($G110,SEQUENCE(LEN($G110),1),1)+0,1)))</f>
        <v/>
      </c>
      <c r="I110" s="29" t="n"/>
    </row>
    <row r="111">
      <c r="A111" s="29" t="n">
        <v>102</v>
      </c>
      <c r="B111" s="29" t="inlineStr">
        <is>
          <t>BCDA</t>
        </is>
      </c>
      <c r="C111" s="47">
        <f t="array" ref="C111">IFS(D111="","", D111="A","NE", D111="B","SW", D111="C","SE", D111="D","NW",D111="Omit", "")</f>
        <v/>
      </c>
      <c r="D111" s="51" t="n"/>
      <c r="E111" s="30">
        <f>IF(D111="","",IF(D111="A","Correct","Incorrect"))</f>
        <v/>
      </c>
      <c r="F111" s="29" t="n"/>
      <c r="G111" s="29" t="n"/>
      <c r="H111" s="30">
        <f t="array" ref="H111">IF($G111="","",TEXTJOIN("",TRUE,MID($B111,MID($G111,SEQUENCE(LEN($G111),1),1)+0,1)))</f>
        <v/>
      </c>
      <c r="I111" s="29" t="n"/>
    </row>
    <row r="112">
      <c r="A112" s="29" t="n">
        <v>103</v>
      </c>
      <c r="B112" s="29" t="inlineStr">
        <is>
          <t>CDAB</t>
        </is>
      </c>
      <c r="C112" s="47">
        <f t="array" ref="C112">IFS(D112="","", D112="A","NW", D112="B","NE", D112="C","SW", D112="D","SE",D112="Omit", "")</f>
        <v/>
      </c>
      <c r="D112" s="51" t="n"/>
      <c r="E112" s="30">
        <f>IF(D112="","",IF(D112="A","Correct","Incorrect"))</f>
        <v/>
      </c>
      <c r="F112" s="29" t="n"/>
      <c r="G112" s="29" t="n"/>
      <c r="H112" s="30">
        <f t="array" ref="H112">IF($G112="","",TEXTJOIN("",TRUE,MID($B112,MID($G112,SEQUENCE(LEN($G112),1),1)+0,1)))</f>
        <v/>
      </c>
      <c r="I112" s="29" t="n"/>
    </row>
    <row r="113">
      <c r="A113" s="29" t="n">
        <v>104</v>
      </c>
      <c r="B113" s="29" t="inlineStr">
        <is>
          <t>DABC</t>
        </is>
      </c>
      <c r="C113" s="47">
        <f t="array" ref="C113">IFS(D113="","", D113="A","SE", D113="B","NW", D113="C","NE", D113="D","SW",D113="Omit", "")</f>
        <v/>
      </c>
      <c r="D113" s="51" t="n"/>
      <c r="E113" s="30">
        <f>IF(D113="","",IF(D113="A","Correct","Incorrect"))</f>
        <v/>
      </c>
      <c r="F113" s="29" t="n"/>
      <c r="G113" s="29" t="n"/>
      <c r="H113" s="30">
        <f t="array" ref="H113">IF($G113="","",TEXTJOIN("",TRUE,MID($B113,MID($G113,SEQUENCE(LEN($G113),1),1)+0,1)))</f>
        <v/>
      </c>
      <c r="I113" s="29" t="n"/>
    </row>
    <row r="114">
      <c r="A114" s="29" t="n">
        <v>105</v>
      </c>
      <c r="B114" s="29" t="inlineStr">
        <is>
          <t>ABCD</t>
        </is>
      </c>
      <c r="C114" s="47">
        <f t="array" ref="C114">IFS(D114="","", D114="A","SW", D114="B","SE", D114="C","NW", D114="D","NE",D114="Omit", "")</f>
        <v/>
      </c>
      <c r="D114" s="51" t="n"/>
      <c r="E114" s="30">
        <f>IF(D114="","",IF(D114="A","Correct","Incorrect"))</f>
        <v/>
      </c>
      <c r="F114" s="29" t="n"/>
      <c r="G114" s="29" t="n"/>
      <c r="H114" s="30">
        <f t="array" ref="H114">IF($G114="","",TEXTJOIN("",TRUE,MID($B114,MID($G114,SEQUENCE(LEN($G114),1),1)+0,1)))</f>
        <v/>
      </c>
      <c r="I114" s="29" t="n"/>
    </row>
    <row r="115">
      <c r="A115" s="29" t="n">
        <v>106</v>
      </c>
      <c r="B115" s="29" t="inlineStr">
        <is>
          <t>BCDA</t>
        </is>
      </c>
      <c r="C115" s="47">
        <f t="array" ref="C115">IFS(D115="","", D115="A","NE", D115="B","SW", D115="C","SE", D115="D","NW",D115="Omit", "")</f>
        <v/>
      </c>
      <c r="D115" s="51" t="n"/>
      <c r="E115" s="30">
        <f>IF(D115="","",IF(D115="A","Correct","Incorrect"))</f>
        <v/>
      </c>
      <c r="F115" s="29" t="n"/>
      <c r="G115" s="29" t="n"/>
      <c r="H115" s="30">
        <f t="array" ref="H115">IF($G115="","",TEXTJOIN("",TRUE,MID($B115,MID($G115,SEQUENCE(LEN($G115),1),1)+0,1)))</f>
        <v/>
      </c>
      <c r="I115" s="29" t="n"/>
    </row>
    <row r="116">
      <c r="A116" s="29" t="n">
        <v>107</v>
      </c>
      <c r="B116" s="29" t="inlineStr">
        <is>
          <t>CDAB</t>
        </is>
      </c>
      <c r="C116" s="47">
        <f t="array" ref="C116">IFS(D116="","", D116="A","NW", D116="B","NE", D116="C","SW", D116="D","SE",D116="Omit", "")</f>
        <v/>
      </c>
      <c r="D116" s="51" t="n"/>
      <c r="E116" s="30">
        <f>IF(D116="","",IF(D116="A","Correct","Incorrect"))</f>
        <v/>
      </c>
      <c r="F116" s="29" t="n"/>
      <c r="G116" s="29" t="n"/>
      <c r="H116" s="30">
        <f t="array" ref="H116">IF($G116="","",TEXTJOIN("",TRUE,MID($B116,MID($G116,SEQUENCE(LEN($G116),1),1)+0,1)))</f>
        <v/>
      </c>
      <c r="I116" s="29" t="n"/>
    </row>
    <row r="117">
      <c r="A117" s="29" t="n">
        <v>108</v>
      </c>
      <c r="B117" s="29" t="inlineStr">
        <is>
          <t>DABC</t>
        </is>
      </c>
      <c r="C117" s="47">
        <f t="array" ref="C117">IFS(D117="","", D117="A","SE", D117="B","NW", D117="C","NE", D117="D","SW",D117="Omit", "")</f>
        <v/>
      </c>
      <c r="D117" s="51" t="n"/>
      <c r="E117" s="30">
        <f>IF(D117="","",IF(D117="A","Correct","Incorrect"))</f>
        <v/>
      </c>
      <c r="F117" s="29" t="n"/>
      <c r="G117" s="29" t="n"/>
      <c r="H117" s="30">
        <f t="array" ref="H117">IF($G117="","",TEXTJOIN("",TRUE,MID($B117,MID($G117,SEQUENCE(LEN($G117),1),1)+0,1)))</f>
        <v/>
      </c>
      <c r="I117" s="29" t="n"/>
    </row>
    <row r="118">
      <c r="A118" s="29" t="n">
        <v>109</v>
      </c>
      <c r="B118" s="29" t="inlineStr">
        <is>
          <t>ABCD</t>
        </is>
      </c>
      <c r="C118" s="47">
        <f t="array" ref="C118">IFS(D118="","", D118="A","SW", D118="B","SE", D118="C","NW", D118="D","NE",D118="Omit", "")</f>
        <v/>
      </c>
      <c r="D118" s="51" t="n"/>
      <c r="E118" s="30">
        <f>IF(D118="","",IF(D118="A","Correct","Incorrect"))</f>
        <v/>
      </c>
      <c r="F118" s="29" t="n"/>
      <c r="G118" s="29" t="n"/>
      <c r="H118" s="30">
        <f t="array" ref="H118">IF($G118="","",TEXTJOIN("",TRUE,MID($B118,MID($G118,SEQUENCE(LEN($G118),1),1)+0,1)))</f>
        <v/>
      </c>
      <c r="I118" s="29" t="n"/>
    </row>
    <row r="119">
      <c r="A119" s="29" t="n">
        <v>110</v>
      </c>
      <c r="B119" s="29" t="inlineStr">
        <is>
          <t>BCDA</t>
        </is>
      </c>
      <c r="C119" s="47">
        <f t="array" ref="C119">IFS(D119="","", D119="A","NE", D119="B","SW", D119="C","SE", D119="D","NW",D119="Omit", "")</f>
        <v/>
      </c>
      <c r="D119" s="51" t="n"/>
      <c r="E119" s="30">
        <f>IF(D119="","",IF(D119="A","Correct","Incorrect"))</f>
        <v/>
      </c>
      <c r="F119" s="29" t="n"/>
      <c r="G119" s="29" t="n"/>
      <c r="H119" s="30">
        <f t="array" ref="H119">IF($G119="","",TEXTJOIN("",TRUE,MID($B119,MID($G119,SEQUENCE(LEN($G119),1),1)+0,1)))</f>
        <v/>
      </c>
      <c r="I119" s="29" t="n"/>
    </row>
    <row r="120">
      <c r="A120" s="29" t="n">
        <v>111</v>
      </c>
      <c r="B120" s="29" t="inlineStr">
        <is>
          <t>CDAB</t>
        </is>
      </c>
      <c r="C120" s="47">
        <f t="array" ref="C120">IFS(D120="","", D120="A","NW", D120="B","NE", D120="C","SW", D120="D","SE",D120="Omit", "")</f>
        <v/>
      </c>
      <c r="D120" s="51" t="n"/>
      <c r="E120" s="30">
        <f>IF(D120="","",IF(D120="A","Correct","Incorrect"))</f>
        <v/>
      </c>
      <c r="F120" s="29" t="n"/>
      <c r="G120" s="29" t="n"/>
      <c r="H120" s="30">
        <f t="array" ref="H120">IF($G120="","",TEXTJOIN("",TRUE,MID($B120,MID($G120,SEQUENCE(LEN($G120),1),1)+0,1)))</f>
        <v/>
      </c>
      <c r="I120" s="29" t="n"/>
    </row>
    <row r="121">
      <c r="A121" s="29" t="n">
        <v>112</v>
      </c>
      <c r="B121" s="29" t="inlineStr">
        <is>
          <t>DABC</t>
        </is>
      </c>
      <c r="C121" s="47">
        <f t="array" ref="C121">IFS(D121="","", D121="A","SE", D121="B","NW", D121="C","NE", D121="D","SW",D121="Omit", "")</f>
        <v/>
      </c>
      <c r="D121" s="51" t="n"/>
      <c r="E121" s="30">
        <f>IF(D121="","",IF(D121="A","Correct","Incorrect"))</f>
        <v/>
      </c>
      <c r="F121" s="29" t="n"/>
      <c r="G121" s="29" t="n"/>
      <c r="H121" s="30">
        <f t="array" ref="H121">IF($G121="","",TEXTJOIN("",TRUE,MID($B121,MID($G121,SEQUENCE(LEN($G121),1),1)+0,1)))</f>
        <v/>
      </c>
      <c r="I121" s="29" t="n"/>
    </row>
    <row r="122">
      <c r="A122" s="29" t="n">
        <v>113</v>
      </c>
      <c r="B122" s="29" t="inlineStr">
        <is>
          <t>ABCD</t>
        </is>
      </c>
      <c r="C122" s="47">
        <f t="array" ref="C122">IFS(D122="","", D122="A","SW", D122="B","SE", D122="C","NW", D122="D","NE",D122="Omit", "")</f>
        <v/>
      </c>
      <c r="D122" s="51" t="n"/>
      <c r="E122" s="30">
        <f>IF(D122="","",IF(D122="A","Correct","Incorrect"))</f>
        <v/>
      </c>
      <c r="F122" s="29" t="n"/>
      <c r="G122" s="29" t="n"/>
      <c r="H122" s="30">
        <f t="array" ref="H122">IF($G122="","",TEXTJOIN("",TRUE,MID($B122,MID($G122,SEQUENCE(LEN($G122),1),1)+0,1)))</f>
        <v/>
      </c>
      <c r="I122" s="29" t="n"/>
    </row>
    <row r="123">
      <c r="A123" s="29" t="n">
        <v>114</v>
      </c>
      <c r="B123" s="29" t="inlineStr">
        <is>
          <t>BCDA</t>
        </is>
      </c>
      <c r="C123" s="47">
        <f t="array" ref="C123">IFS(D123="","", D123="A","NE", D123="B","SW", D123="C","SE", D123="D","NW",D123="Omit", "")</f>
        <v/>
      </c>
      <c r="D123" s="51" t="n"/>
      <c r="E123" s="30">
        <f>IF(D123="","",IF(D123="A","Correct","Incorrect"))</f>
        <v/>
      </c>
      <c r="F123" s="29" t="n"/>
      <c r="G123" s="29" t="n"/>
      <c r="H123" s="30">
        <f t="array" ref="H123">IF($G123="","",TEXTJOIN("",TRUE,MID($B123,MID($G123,SEQUENCE(LEN($G123),1),1)+0,1)))</f>
        <v/>
      </c>
      <c r="I123" s="29" t="n"/>
    </row>
    <row r="124">
      <c r="A124" s="29" t="n">
        <v>115</v>
      </c>
      <c r="B124" s="29" t="inlineStr">
        <is>
          <t>CDAB</t>
        </is>
      </c>
      <c r="C124" s="47">
        <f t="array" ref="C124">IFS(D124="","", D124="A","NW", D124="B","NE", D124="C","SW", D124="D","SE",D124="Omit", "")</f>
        <v/>
      </c>
      <c r="D124" s="51" t="n"/>
      <c r="E124" s="30">
        <f>IF(D124="","",IF(D124="A","Correct","Incorrect"))</f>
        <v/>
      </c>
      <c r="F124" s="29" t="n"/>
      <c r="G124" s="29" t="n"/>
      <c r="H124" s="30">
        <f t="array" ref="H124">IF($G124="","",TEXTJOIN("",TRUE,MID($B124,MID($G124,SEQUENCE(LEN($G124),1),1)+0,1)))</f>
        <v/>
      </c>
      <c r="I124" s="29" t="n"/>
    </row>
    <row r="125">
      <c r="A125" s="29" t="n">
        <v>116</v>
      </c>
      <c r="B125" s="29" t="inlineStr">
        <is>
          <t>DABC</t>
        </is>
      </c>
      <c r="C125" s="47">
        <f t="array" ref="C125">IFS(D125="","", D125="A","SE", D125="B","NW", D125="C","NE", D125="D","SW",D125="Omit", "")</f>
        <v/>
      </c>
      <c r="D125" s="51" t="n"/>
      <c r="E125" s="30">
        <f>IF(D125="","",IF(D125="A","Correct","Incorrect"))</f>
        <v/>
      </c>
      <c r="F125" s="29" t="n"/>
      <c r="G125" s="29" t="n"/>
      <c r="H125" s="30">
        <f t="array" ref="H125">IF($G125="","",TEXTJOIN("",TRUE,MID($B125,MID($G125,SEQUENCE(LEN($G125),1),1)+0,1)))</f>
        <v/>
      </c>
      <c r="I125" s="29" t="n"/>
    </row>
    <row r="126">
      <c r="A126" s="29" t="n">
        <v>117</v>
      </c>
      <c r="B126" s="29" t="inlineStr">
        <is>
          <t>ABCD</t>
        </is>
      </c>
      <c r="C126" s="47">
        <f t="array" ref="C126">IFS(D126="","", D126="A","SW", D126="B","SE", D126="C","NW", D126="D","NE",D126="Omit", "")</f>
        <v/>
      </c>
      <c r="D126" s="51" t="n"/>
      <c r="E126" s="30">
        <f>IF(D126="","",IF(D126="A","Correct","Incorrect"))</f>
        <v/>
      </c>
      <c r="F126" s="29" t="n"/>
      <c r="G126" s="29" t="n"/>
      <c r="H126" s="30">
        <f t="array" ref="H126">IF($G126="","",TEXTJOIN("",TRUE,MID($B126,MID($G126,SEQUENCE(LEN($G126),1),1)+0,1)))</f>
        <v/>
      </c>
      <c r="I126" s="29" t="n"/>
    </row>
    <row r="127">
      <c r="A127" s="29" t="n">
        <v>118</v>
      </c>
      <c r="B127" s="29" t="inlineStr">
        <is>
          <t>BCDA</t>
        </is>
      </c>
      <c r="C127" s="47">
        <f t="array" ref="C127">IFS(D127="","", D127="A","NE", D127="B","SW", D127="C","SE", D127="D","NW",D127="Omit", "")</f>
        <v/>
      </c>
      <c r="D127" s="51" t="n"/>
      <c r="E127" s="30">
        <f>IF(D127="","",IF(D127="A","Correct","Incorrect"))</f>
        <v/>
      </c>
      <c r="F127" s="29" t="n"/>
      <c r="G127" s="29" t="n"/>
      <c r="H127" s="30">
        <f t="array" ref="H127">IF($G127="","",TEXTJOIN("",TRUE,MID($B127,MID($G127,SEQUENCE(LEN($G127),1),1)+0,1)))</f>
        <v/>
      </c>
      <c r="I127" s="29" t="n"/>
    </row>
    <row r="128">
      <c r="A128" s="29" t="n">
        <v>119</v>
      </c>
      <c r="B128" s="29" t="inlineStr">
        <is>
          <t>CDAB</t>
        </is>
      </c>
      <c r="C128" s="47">
        <f t="array" ref="C128">IFS(D128="","", D128="A","NW", D128="B","NE", D128="C","SW", D128="D","SE",D128="Omit", "")</f>
        <v/>
      </c>
      <c r="D128" s="51" t="n"/>
      <c r="E128" s="30">
        <f>IF(D128="","",IF(D128="A","Correct","Incorrect"))</f>
        <v/>
      </c>
      <c r="F128" s="29" t="n"/>
      <c r="G128" s="29" t="n"/>
      <c r="H128" s="30">
        <f t="array" ref="H128">IF($G128="","",TEXTJOIN("",TRUE,MID($B128,MID($G128,SEQUENCE(LEN($G128),1),1)+0,1)))</f>
        <v/>
      </c>
      <c r="I128" s="29" t="n"/>
    </row>
    <row r="129">
      <c r="A129" s="29" t="n">
        <v>120</v>
      </c>
      <c r="B129" s="29" t="inlineStr">
        <is>
          <t>DABC</t>
        </is>
      </c>
      <c r="C129" s="47">
        <f t="array" ref="C129">IFS(D129="","", D129="A","SE", D129="B","NW", D129="C","NE", D129="D","SW",D129="Omit", "")</f>
        <v/>
      </c>
      <c r="D129" s="51" t="n"/>
      <c r="E129" s="30">
        <f>IF(D129="","",IF(D129="A","Correct","Incorrect"))</f>
        <v/>
      </c>
      <c r="F129" s="29" t="n"/>
      <c r="G129" s="29" t="n"/>
      <c r="H129" s="30">
        <f t="array" ref="H129">IF($G129="","",TEXTJOIN("",TRUE,MID($B129,MID($G129,SEQUENCE(LEN($G129),1),1)+0,1)))</f>
        <v/>
      </c>
      <c r="I129" s="29" t="n"/>
    </row>
  </sheetData>
  <mergeCells count="1">
    <mergeCell ref="A1:I1"/>
  </mergeCells>
  <conditionalFormatting sqref="E10:E129">
    <cfRule type="cellIs" priority="1" operator="equal" dxfId="0">
      <formula>"Correct"</formula>
    </cfRule>
    <cfRule type="cellIs" priority="2" operator="equal" dxfId="1">
      <formula>"Incorrect"</formula>
    </cfRule>
  </conditionalFormatting>
  <dataValidations count="1">
    <dataValidation sqref="D10:D129" showDropDown="0" showInputMessage="1" showErrorMessage="1" allowBlank="1" prompt="Click and enter a value from the list of items" type="list">
      <formula1>"A,B,C,D,Omit"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J129"/>
  <sheetViews>
    <sheetView workbookViewId="0">
      <selection activeCell="A1" sqref="A1"/>
    </sheetView>
  </sheetViews>
  <sheetFormatPr baseColWidth="8" defaultColWidth="12.63" defaultRowHeight="15" customHeight="1"/>
  <cols>
    <col width="18.88" customWidth="1" style="62" min="1" max="6"/>
    <col width="25.38" customWidth="1" style="62" min="7" max="8"/>
    <col width="18.88" customWidth="1" style="62" min="9" max="10"/>
  </cols>
  <sheetData>
    <row r="1" ht="30" customHeight="1" s="62">
      <c r="A1" s="64" t="inlineStr">
        <is>
          <t>SECTION 8 — Day 6: Testing (Reversal)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>
      <c r="A3" s="6" t="inlineStr">
        <is>
          <t>Experimenter:</t>
        </is>
      </c>
      <c r="B3" s="29" t="inlineStr">
        <is>
          <t>Winnie Chao</t>
        </is>
      </c>
      <c r="C3" s="6" t="inlineStr">
        <is>
          <t>Start time:</t>
        </is>
      </c>
      <c r="D3" s="41" t="n">
        <v>0.6875</v>
      </c>
      <c r="E3" s="6" t="inlineStr">
        <is>
          <t>Start time (ZT):</t>
        </is>
      </c>
      <c r="F3" s="10">
        <f>IF(D3="","","ZT " &amp; TEXT(MOD(D3-METADATA!$B$19,1),"hh:mm"))</f>
        <v/>
      </c>
      <c r="G3" s="5" t="n"/>
      <c r="H3" s="5" t="n"/>
      <c r="I3" s="5" t="n"/>
      <c r="J3" s="5" t="n"/>
    </row>
    <row r="4">
      <c r="A4" s="6" t="inlineStr">
        <is>
          <t>Date:</t>
        </is>
      </c>
      <c r="B4" s="42" t="n">
        <v>46214</v>
      </c>
      <c r="C4" s="6" t="inlineStr">
        <is>
          <t>End time:</t>
        </is>
      </c>
      <c r="D4" s="41" t="n">
        <v>0.71875</v>
      </c>
      <c r="E4" s="6" t="inlineStr">
        <is>
          <t>End time (ZT):</t>
        </is>
      </c>
      <c r="F4" s="10">
        <f>IF(D4="","","ZT " &amp; TEXT(MOD(D4-METADATA!$B$19,1),"hh:mm"))</f>
        <v/>
      </c>
      <c r="G4" s="5" t="n"/>
      <c r="H4" s="5" t="n"/>
      <c r="I4" s="5" t="n"/>
      <c r="J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45" t="inlineStr">
        <is>
          <t>Trial Type:</t>
        </is>
      </c>
      <c r="B6" s="46" t="inlineStr">
        <is>
          <t>Reversal</t>
        </is>
      </c>
      <c r="C6" s="5" t="n"/>
      <c r="D6" s="45" t="inlineStr">
        <is>
          <t>Rewarded:</t>
        </is>
      </c>
      <c r="E6" s="50" t="inlineStr">
        <is>
          <t>Cinnamon</t>
        </is>
      </c>
      <c r="F6" s="5" t="n"/>
      <c r="G6" s="5" t="n"/>
      <c r="H6" s="5" t="n"/>
      <c r="I6" s="5" t="n"/>
      <c r="J6" s="5" t="n"/>
    </row>
    <row r="7">
      <c r="A7" s="45" t="inlineStr">
        <is>
          <t>Odors:</t>
        </is>
      </c>
      <c r="B7" s="49" t="inlineStr">
        <is>
          <t>A: Anise</t>
        </is>
      </c>
      <c r="C7" s="49" t="inlineStr">
        <is>
          <t>B: Cinnamon</t>
        </is>
      </c>
      <c r="D7" s="49" t="inlineStr">
        <is>
          <t>C: Lemon</t>
        </is>
      </c>
      <c r="E7" s="52" t="inlineStr">
        <is>
          <t>D: Mint</t>
        </is>
      </c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20" t="inlineStr">
        <is>
          <t>Trial</t>
        </is>
      </c>
      <c r="B9" s="24" t="inlineStr">
        <is>
          <t>Bowl Order
(NW, NE, SW, SE)</t>
        </is>
      </c>
      <c r="C9" s="21" t="inlineStr">
        <is>
          <t>Quadrant Chosen</t>
        </is>
      </c>
      <c r="D9" s="20" t="inlineStr">
        <is>
          <t>Odor Chosen</t>
        </is>
      </c>
      <c r="E9" s="20" t="inlineStr">
        <is>
          <t>Correct?</t>
        </is>
      </c>
      <c r="F9" s="20" t="inlineStr">
        <is>
          <t>Latency (s)</t>
        </is>
      </c>
      <c r="G9" s="31" t="inlineStr">
        <is>
          <t>Entry Sequence</t>
        </is>
      </c>
      <c r="H9" s="31" t="inlineStr">
        <is>
          <t>Odor Sequences</t>
        </is>
      </c>
      <c r="I9" s="20" t="inlineStr">
        <is>
          <t>Error Type</t>
        </is>
      </c>
      <c r="J9" s="20" t="inlineStr">
        <is>
          <t>Notes</t>
        </is>
      </c>
    </row>
    <row r="10">
      <c r="A10" s="29" t="n">
        <v>1</v>
      </c>
      <c r="B10" s="29" t="inlineStr">
        <is>
          <t>ABCD</t>
        </is>
      </c>
      <c r="C10" s="47">
        <f t="array" ref="C10">IFS(D10="","", D10="A","NW", D10="B","NE", D10="C","SW", D10="D","SE",D10="Omit", "")</f>
        <v/>
      </c>
      <c r="D10" s="51" t="inlineStr">
        <is>
          <t>A</t>
        </is>
      </c>
      <c r="E10" s="30">
        <f>IF(D10="","",IF(D10="B","Correct","Incorrect"))</f>
        <v/>
      </c>
      <c r="F10" s="53" t="n">
        <v>17</v>
      </c>
      <c r="G10" s="48" t="inlineStr">
        <is>
          <t>41</t>
        </is>
      </c>
      <c r="H10" s="30">
        <f t="array" ref="H10">IF($G10="","",TEXTJOIN("",TRUE,MID($B10,MID($G10,SEQUENCE(LEN($G10),1),1)+0,1)))</f>
        <v/>
      </c>
      <c r="I10" s="30">
        <f>IF(OR(D10="",D10="Omit"),"",IF(D10="B","",IF(D10="A",IF(COUNTIF(D9:D$10,"B")=0,"Perseverative","Regressive"),IF(D10="C","Irrelevant",IF(D10="D","Novel","")))))</f>
        <v/>
      </c>
      <c r="J10" s="48" t="n"/>
    </row>
    <row r="11">
      <c r="A11" s="29" t="n">
        <v>2</v>
      </c>
      <c r="B11" s="29" t="inlineStr">
        <is>
          <t>BCDA</t>
        </is>
      </c>
      <c r="C11" s="47">
        <f t="array" ref="C11">IFS(D11="","", D11="A","SE", D11="B","NW", D11="C","NE", D11="D","SW",D11="Omit", "")</f>
        <v/>
      </c>
      <c r="D11" s="51" t="inlineStr">
        <is>
          <t>A</t>
        </is>
      </c>
      <c r="E11" s="30">
        <f>IF(D11="","",IF(D11="B","Correct","Incorrect"))</f>
        <v/>
      </c>
      <c r="F11" s="53" t="n">
        <v>4</v>
      </c>
      <c r="G11" s="48" t="inlineStr">
        <is>
          <t>4</t>
        </is>
      </c>
      <c r="H11" s="30">
        <f t="array" ref="H11">IF($G11="","",TEXTJOIN("",TRUE,MID($B11,MID($G11,SEQUENCE(LEN($G11),1),1)+0,1)))</f>
        <v/>
      </c>
      <c r="I11" s="30">
        <f>IF(OR(D11="",D11="Omit"),"",IF(D11="B","",IF(D11="A",IF(COUNTIF(D10:D$10,"B")=0,"Perseverative","Regressive"),IF(D11="C","Irrelevant",IF(D11="D","Novel","")))))</f>
        <v/>
      </c>
      <c r="J11" s="48" t="n"/>
    </row>
    <row r="12">
      <c r="A12" s="29" t="n">
        <v>3</v>
      </c>
      <c r="B12" s="29" t="inlineStr">
        <is>
          <t>CDAB</t>
        </is>
      </c>
      <c r="C12" s="47">
        <f t="array" ref="C12">IFS(D12="","", D12="A","SW", D12="B","SE", D12="C","NW", D12="D","NE",D12="Omit", "")</f>
        <v/>
      </c>
      <c r="D12" s="51" t="inlineStr">
        <is>
          <t>A</t>
        </is>
      </c>
      <c r="E12" s="30">
        <f>IF(D12="","",IF(D12="B","Correct","Incorrect"))</f>
        <v/>
      </c>
      <c r="F12" s="53" t="n">
        <v>5</v>
      </c>
      <c r="G12" s="48" t="inlineStr">
        <is>
          <t>3</t>
        </is>
      </c>
      <c r="H12" s="30">
        <f t="array" ref="H12">IF($G12="","",TEXTJOIN("",TRUE,MID($B12,MID($G12,SEQUENCE(LEN($G12),1),1)+0,1)))</f>
        <v/>
      </c>
      <c r="I12" s="30">
        <f>IF(OR(D12="",D12="Omit"),"",IF(D12="B","",IF(D12="A",IF(COUNTIF(D11:D$10,"B")=0,"Perseverative","Regressive"),IF(D12="C","Irrelevant",IF(D12="D","Novel","")))))</f>
        <v/>
      </c>
      <c r="J12" s="48" t="n"/>
    </row>
    <row r="13">
      <c r="A13" s="29" t="n">
        <v>4</v>
      </c>
      <c r="B13" s="29" t="inlineStr">
        <is>
          <t>DABC</t>
        </is>
      </c>
      <c r="C13" s="47">
        <f t="array" ref="C13">IFS(D13="","", D13="A","NE", D13="B","SW", D13="C","SE", D13="D","NW",D13="Omit", "")</f>
        <v/>
      </c>
      <c r="D13" s="51" t="inlineStr">
        <is>
          <t>A</t>
        </is>
      </c>
      <c r="E13" s="30">
        <f>IF(D13="","",IF(D13="B","Correct","Incorrect"))</f>
        <v/>
      </c>
      <c r="F13" s="53" t="n">
        <v>19</v>
      </c>
      <c r="G13" s="48" t="inlineStr">
        <is>
          <t>2132</t>
        </is>
      </c>
      <c r="H13" s="30">
        <f t="array" ref="H13">IF($G13="","",TEXTJOIN("",TRUE,MID($B13,MID($G13,SEQUENCE(LEN($G13),1),1)+0,1)))</f>
        <v/>
      </c>
      <c r="I13" s="30">
        <f>IF(OR(D13="",D13="Omit"),"",IF(D13="B","",IF(D13="A",IF(COUNTIF(D12:D$10,"B")=0,"Perseverative","Regressive"),IF(D13="C","Irrelevant",IF(D13="D","Novel","")))))</f>
        <v/>
      </c>
      <c r="J13" s="48" t="n"/>
    </row>
    <row r="14">
      <c r="A14" s="29" t="n">
        <v>5</v>
      </c>
      <c r="B14" s="29" t="inlineStr">
        <is>
          <t>ABCD</t>
        </is>
      </c>
      <c r="C14" s="47">
        <f t="array" ref="C14">IFS(D14="","", D14="A","NW", D14="B","NE", D14="C","SW", D14="D","SE",D14="Omit", "")</f>
        <v/>
      </c>
      <c r="D14" s="51" t="inlineStr">
        <is>
          <t>A</t>
        </is>
      </c>
      <c r="E14" s="30">
        <f>IF(D14="","",IF(D14="B","Correct","Incorrect"))</f>
        <v/>
      </c>
      <c r="F14" s="53" t="n">
        <v>33</v>
      </c>
      <c r="G14" s="48" t="inlineStr">
        <is>
          <t>131312131</t>
        </is>
      </c>
      <c r="H14" s="30">
        <f t="array" ref="H14">IF($G14="","",TEXTJOIN("",TRUE,MID($B14,MID($G14,SEQUENCE(LEN($G14),1),1)+0,1)))</f>
        <v/>
      </c>
      <c r="I14" s="30">
        <f>IF(OR(D14="",D14="Omit"),"",IF(D14="B","",IF(D14="A",IF(COUNTIF(D13:D$10,"B")=0,"Perseverative","Regressive"),IF(D14="C","Irrelevant",IF(D14="D","Novel","")))))</f>
        <v/>
      </c>
      <c r="J14" s="48" t="n"/>
    </row>
    <row r="15">
      <c r="A15" s="29" t="n">
        <v>6</v>
      </c>
      <c r="B15" s="29" t="inlineStr">
        <is>
          <t>BCDA</t>
        </is>
      </c>
      <c r="C15" s="47">
        <f t="array" ref="C15">IFS(D15="","", D15="A","SE", D15="B","NW", D15="C","NE", D15="D","SW",D15="Omit", "")</f>
        <v/>
      </c>
      <c r="D15" s="51" t="inlineStr">
        <is>
          <t>A</t>
        </is>
      </c>
      <c r="E15" s="30">
        <f>IF(D15="","",IF(D15="B","Correct","Incorrect"))</f>
        <v/>
      </c>
      <c r="F15" s="53" t="n">
        <v>6</v>
      </c>
      <c r="G15" s="48" t="inlineStr">
        <is>
          <t>4</t>
        </is>
      </c>
      <c r="H15" s="30">
        <f t="array" ref="H15">IF($G15="","",TEXTJOIN("",TRUE,MID($B15,MID($G15,SEQUENCE(LEN($G15),1),1)+0,1)))</f>
        <v/>
      </c>
      <c r="I15" s="30">
        <f>IF(OR(D15="",D15="Omit"),"",IF(D15="B","",IF(D15="A",IF(COUNTIF(D14:D$10,"B")=0,"Perseverative","Regressive"),IF(D15="C","Irrelevant",IF(D15="D","Novel","")))))</f>
        <v/>
      </c>
      <c r="J15" s="48" t="n"/>
    </row>
    <row r="16">
      <c r="A16" s="29" t="n">
        <v>7</v>
      </c>
      <c r="B16" s="29" t="inlineStr">
        <is>
          <t>CDAB</t>
        </is>
      </c>
      <c r="C16" s="47">
        <f t="array" ref="C16">IFS(D16="","", D16="A","SW", D16="B","SE", D16="C","NW", D16="D","NE",D16="Omit", "")</f>
        <v/>
      </c>
      <c r="D16" s="51" t="inlineStr">
        <is>
          <t>A</t>
        </is>
      </c>
      <c r="E16" s="30">
        <f>IF(D16="","",IF(D16="B","Correct","Incorrect"))</f>
        <v/>
      </c>
      <c r="F16" s="53" t="n">
        <v>6</v>
      </c>
      <c r="G16" s="48" t="inlineStr">
        <is>
          <t>43</t>
        </is>
      </c>
      <c r="H16" s="30">
        <f t="array" ref="H16">IF($G16="","",TEXTJOIN("",TRUE,MID($B16,MID($G16,SEQUENCE(LEN($G16),1),1)+0,1)))</f>
        <v/>
      </c>
      <c r="I16" s="30">
        <f>IF(OR(D16="",D16="Omit"),"",IF(D16="B","",IF(D16="A",IF(COUNTIF(D15:D$10,"B")=0,"Perseverative","Regressive"),IF(D16="C","Irrelevant",IF(D16="D","Novel","")))))</f>
        <v/>
      </c>
      <c r="J16" s="48" t="n"/>
    </row>
    <row r="17">
      <c r="A17" s="29" t="n">
        <v>8</v>
      </c>
      <c r="B17" s="29" t="inlineStr">
        <is>
          <t>DABC</t>
        </is>
      </c>
      <c r="C17" s="47">
        <f t="array" ref="C17">IFS(D17="","", D17="A","NE", D17="B","SW", D17="C","SE", D17="D","NW",D17="Omit", "")</f>
        <v/>
      </c>
      <c r="D17" s="51" t="inlineStr">
        <is>
          <t>A</t>
        </is>
      </c>
      <c r="E17" s="30">
        <f>IF(D17="","",IF(D17="B","Correct","Incorrect"))</f>
        <v/>
      </c>
      <c r="F17" s="53" t="n">
        <v>6</v>
      </c>
      <c r="G17" s="48" t="inlineStr">
        <is>
          <t>342</t>
        </is>
      </c>
      <c r="H17" s="30">
        <f t="array" ref="H17">IF($G17="","",TEXTJOIN("",TRUE,MID($B17,MID($G17,SEQUENCE(LEN($G17),1),1)+0,1)))</f>
        <v/>
      </c>
      <c r="I17" s="30">
        <f>IF(OR(D17="",D17="Omit"),"",IF(D17="B","",IF(D17="A",IF(COUNTIF(D16:D$10,"B")=0,"Perseverative","Regressive"),IF(D17="C","Irrelevant",IF(D17="D","Novel","")))))</f>
        <v/>
      </c>
      <c r="J17" s="48" t="n"/>
    </row>
    <row r="18">
      <c r="A18" s="29" t="n">
        <v>9</v>
      </c>
      <c r="B18" s="29" t="inlineStr">
        <is>
          <t>ABCD</t>
        </is>
      </c>
      <c r="C18" s="47">
        <f t="array" ref="C18">IFS(D18="","", D18="A","NW", D18="B","NE", D18="C","SW", D18="D","SE",D18="Omit", "")</f>
        <v/>
      </c>
      <c r="D18" s="51" t="inlineStr">
        <is>
          <t>A</t>
        </is>
      </c>
      <c r="E18" s="30">
        <f>IF(D18="","",IF(D18="B","Correct","Incorrect"))</f>
        <v/>
      </c>
      <c r="F18" s="53" t="n">
        <v>13</v>
      </c>
      <c r="G18" s="48" t="inlineStr">
        <is>
          <t>2421</t>
        </is>
      </c>
      <c r="H18" s="30">
        <f t="array" ref="H18">IF($G18="","",TEXTJOIN("",TRUE,MID($B18,MID($G18,SEQUENCE(LEN($G18),1),1)+0,1)))</f>
        <v/>
      </c>
      <c r="I18" s="30">
        <f>IF(OR(D18="",D18="Omit"),"",IF(D18="B","",IF(D18="A",IF(COUNTIF(D17:D$10,"B")=0,"Perseverative","Regressive"),IF(D18="C","Irrelevant",IF(D18="D","Novel","")))))</f>
        <v/>
      </c>
      <c r="J18" s="48" t="n"/>
    </row>
    <row r="19">
      <c r="A19" s="29" t="n">
        <v>10</v>
      </c>
      <c r="B19" s="29" t="inlineStr">
        <is>
          <t>BCDA</t>
        </is>
      </c>
      <c r="C19" s="47">
        <f t="array" ref="C19">IFS(D19="","", D19="A","SE", D19="B","NW", D19="C","NE", D19="D","SW",D19="Omit", "")</f>
        <v/>
      </c>
      <c r="D19" s="51" t="inlineStr">
        <is>
          <t>A</t>
        </is>
      </c>
      <c r="E19" s="30">
        <f>IF(D19="","",IF(D19="B","Correct","Incorrect"))</f>
        <v/>
      </c>
      <c r="F19" s="53" t="n">
        <v>32</v>
      </c>
      <c r="G19" s="48" t="inlineStr">
        <is>
          <t>13134</t>
        </is>
      </c>
      <c r="H19" s="30">
        <f t="array" ref="H19">IF($G19="","",TEXTJOIN("",TRUE,MID($B19,MID($G19,SEQUENCE(LEN($G19),1),1)+0,1)))</f>
        <v/>
      </c>
      <c r="I19" s="30">
        <f>IF(OR(D19="",D19="Omit"),"",IF(D19="B","",IF(D19="A",IF(COUNTIF(D18:D$10,"B")=0,"Perseverative","Regressive"),IF(D19="C","Irrelevant",IF(D19="D","Novel","")))))</f>
        <v/>
      </c>
      <c r="J19" s="48" t="n"/>
    </row>
    <row r="20">
      <c r="A20" s="29" t="n">
        <v>11</v>
      </c>
      <c r="B20" s="29" t="inlineStr">
        <is>
          <t>CDAB</t>
        </is>
      </c>
      <c r="C20" s="47">
        <f t="array" ref="C20">IFS(D20="","", D20="A","SW", D20="B","SE", D20="C","NW", D20="D","NE",D20="Omit", "")</f>
        <v/>
      </c>
      <c r="D20" s="51" t="inlineStr">
        <is>
          <t>A</t>
        </is>
      </c>
      <c r="E20" s="30">
        <f>IF(D20="","",IF(D20="B","Correct","Incorrect"))</f>
        <v/>
      </c>
      <c r="F20" s="53" t="n">
        <v>94</v>
      </c>
      <c r="G20" s="48" t="inlineStr">
        <is>
          <t>32131213131413242123</t>
        </is>
      </c>
      <c r="H20" s="30">
        <f t="array" ref="H20">IF($G20="","",TEXTJOIN("",TRUE,MID($B20,MID($G20,SEQUENCE(LEN($G20),1),1)+0,1)))</f>
        <v/>
      </c>
      <c r="I20" s="30">
        <f>IF(OR(D20="",D20="Omit"),"",IF(D20="B","",IF(D20="A",IF(COUNTIF(D19:D$10,"B")=0,"Perseverative","Regressive"),IF(D20="C","Irrelevant",IF(D20="D","Novel","")))))</f>
        <v/>
      </c>
      <c r="J20" s="48" t="n"/>
    </row>
    <row r="21">
      <c r="A21" s="29" t="n">
        <v>12</v>
      </c>
      <c r="B21" s="29" t="inlineStr">
        <is>
          <t>DABC</t>
        </is>
      </c>
      <c r="C21" s="47">
        <f t="array" ref="C21">IFS(D21="","", D21="A","NE", D21="B","SW", D21="C","SE", D21="D","NW",D21="Omit", "")</f>
        <v/>
      </c>
      <c r="D21" s="51" t="inlineStr">
        <is>
          <t>Omit</t>
        </is>
      </c>
      <c r="E21" s="30">
        <f>IF(D21="","",IF(D21="B","Correct","Incorrect"))</f>
        <v/>
      </c>
      <c r="F21" s="53" t="n">
        <v>180</v>
      </c>
      <c r="G21" s="48" t="inlineStr">
        <is>
          <t>34121314234213121314</t>
        </is>
      </c>
      <c r="H21" s="30">
        <f t="array" ref="H21">IF($G21="","",TEXTJOIN("",TRUE,MID($B21,MID($G21,SEQUENCE(LEN($G21),1),1)+0,1)))</f>
        <v/>
      </c>
      <c r="I21" s="30">
        <f>IF(OR(D21="",D21="Omit"),"",IF(D21="B","",IF(D21="A",IF(COUNTIF(D20:D$10,"B")=0,"Perseverative","Regressive"),IF(D21="C","Irrelevant",IF(D21="D","Novel","")))))</f>
        <v/>
      </c>
      <c r="J21" s="48" t="n"/>
    </row>
    <row r="22">
      <c r="A22" s="29" t="n">
        <v>13</v>
      </c>
      <c r="B22" s="29" t="inlineStr">
        <is>
          <t>ABCD</t>
        </is>
      </c>
      <c r="C22" s="47">
        <f t="array" ref="C22">IFS(D22="","", D22="A","NW", D22="B","NE", D22="C","SW", D22="D","SE",D22="Omit", "")</f>
        <v/>
      </c>
      <c r="D22" s="51" t="inlineStr">
        <is>
          <t>A</t>
        </is>
      </c>
      <c r="E22" s="30">
        <f>IF(D22="","",IF(D22="B","Correct","Incorrect"))</f>
        <v/>
      </c>
      <c r="F22" s="53" t="n">
        <v>17</v>
      </c>
      <c r="G22" s="48" t="inlineStr">
        <is>
          <t>1</t>
        </is>
      </c>
      <c r="H22" s="30">
        <f t="array" ref="H22">IF($G22="","",TEXTJOIN("",TRUE,MID($B22,MID($G22,SEQUENCE(LEN($G22),1),1)+0,1)))</f>
        <v/>
      </c>
      <c r="I22" s="30">
        <f>IF(OR(D22="",D22="Omit"),"",IF(D22="B","",IF(D22="A",IF(COUNTIF(D21:D$10,"B")=0,"Perseverative","Regressive"),IF(D22="C","Irrelevant",IF(D22="D","Novel","")))))</f>
        <v/>
      </c>
      <c r="J22" s="48" t="n"/>
    </row>
    <row r="23">
      <c r="A23" s="29" t="n">
        <v>14</v>
      </c>
      <c r="B23" s="29" t="inlineStr">
        <is>
          <t>BCDA</t>
        </is>
      </c>
      <c r="C23" s="47">
        <f t="array" ref="C23">IFS(D23="","", D23="A","SE", D23="B","NW", D23="C","NE", D23="D","SW",D23="Omit", "")</f>
        <v/>
      </c>
      <c r="D23" s="51" t="inlineStr">
        <is>
          <t>D</t>
        </is>
      </c>
      <c r="E23" s="30">
        <f>IF(D23="","",IF(D23="B","Correct","Incorrect"))</f>
        <v/>
      </c>
      <c r="F23" s="53" t="n">
        <v>119</v>
      </c>
      <c r="G23" s="48" t="inlineStr">
        <is>
          <t>131423143131213</t>
        </is>
      </c>
      <c r="H23" s="30">
        <f t="array" ref="H23">IF($G23="","",TEXTJOIN("",TRUE,MID($B23,MID($G23,SEQUENCE(LEN($G23),1),1)+0,1)))</f>
        <v/>
      </c>
      <c r="I23" s="30">
        <f>IF(OR(D23="",D23="Omit"),"",IF(D23="B","",IF(D23="A",IF(COUNTIF(D22:D$10,"B")=0,"Perseverative","Regressive"),IF(D23="C","Irrelevant",IF(D23="D","Novel","")))))</f>
        <v/>
      </c>
      <c r="J23" s="48" t="n"/>
    </row>
    <row r="24">
      <c r="A24" s="29" t="n">
        <v>15</v>
      </c>
      <c r="B24" s="29" t="inlineStr">
        <is>
          <t>CDAB</t>
        </is>
      </c>
      <c r="C24" s="47">
        <f t="array" ref="C24">IFS(D24="","", D24="A","SW", D24="B","SE", D24="C","NW", D24="D","NE",D24="Omit", "")</f>
        <v/>
      </c>
      <c r="D24" s="51" t="inlineStr">
        <is>
          <t>D</t>
        </is>
      </c>
      <c r="E24" s="30">
        <f>IF(D24="","",IF(D24="B","Correct","Incorrect"))</f>
        <v/>
      </c>
      <c r="F24" s="53" t="n">
        <v>41</v>
      </c>
      <c r="G24" s="48" t="inlineStr">
        <is>
          <t>321213142</t>
        </is>
      </c>
      <c r="H24" s="30">
        <f t="array" ref="H24">IF($G24="","",TEXTJOIN("",TRUE,MID($B24,MID($G24,SEQUENCE(LEN($G24),1),1)+0,1)))</f>
        <v/>
      </c>
      <c r="I24" s="30">
        <f>IF(OR(D24="",D24="Omit"),"",IF(D24="B","",IF(D24="A",IF(COUNTIF(D23:D$10,"B")=0,"Perseverative","Regressive"),IF(D24="C","Irrelevant",IF(D24="D","Novel","")))))</f>
        <v/>
      </c>
      <c r="J24" s="48" t="n"/>
    </row>
    <row r="25">
      <c r="A25" s="29" t="n">
        <v>16</v>
      </c>
      <c r="B25" s="29" t="inlineStr">
        <is>
          <t>DABC</t>
        </is>
      </c>
      <c r="C25" s="47">
        <f t="array" ref="C25">IFS(D25="","", D25="A","NE", D25="B","SW", D25="C","SE", D25="D","NW",D25="Omit", "")</f>
        <v/>
      </c>
      <c r="D25" s="51" t="inlineStr">
        <is>
          <t>B</t>
        </is>
      </c>
      <c r="E25" s="30">
        <f>IF(D25="","",IF(D25="B","Correct","Incorrect"))</f>
        <v/>
      </c>
      <c r="F25" s="53" t="n">
        <v>57</v>
      </c>
      <c r="G25" s="48" t="inlineStr">
        <is>
          <t>313413</t>
        </is>
      </c>
      <c r="H25" s="30">
        <f t="array" ref="H25">IF($G25="","",TEXTJOIN("",TRUE,MID($B25,MID($G25,SEQUENCE(LEN($G25),1),1)+0,1)))</f>
        <v/>
      </c>
      <c r="I25" s="30">
        <f>IF(OR(D25="",D25="Omit"),"",IF(D25="B","",IF(D25="A",IF(COUNTIF(D24:D$10,"B")=0,"Perseverative","Regressive"),IF(D25="C","Irrelevant",IF(D25="D","Novel","")))))</f>
        <v/>
      </c>
      <c r="J25" s="48" t="n"/>
    </row>
    <row r="26">
      <c r="A26" s="29" t="n">
        <v>17</v>
      </c>
      <c r="B26" s="29" t="inlineStr">
        <is>
          <t>ABCD</t>
        </is>
      </c>
      <c r="C26" s="47">
        <f t="array" ref="C26">IFS(D26="","", D26="A","NW", D26="B","NE", D26="C","SW", D26="D","SE",D26="Omit", "")</f>
        <v/>
      </c>
      <c r="D26" s="51" t="inlineStr">
        <is>
          <t>A</t>
        </is>
      </c>
      <c r="E26" s="30">
        <f>IF(D26="","",IF(D26="B","Correct","Incorrect"))</f>
        <v/>
      </c>
      <c r="F26" s="53" t="n">
        <v>13</v>
      </c>
      <c r="G26" s="48" t="inlineStr">
        <is>
          <t>21</t>
        </is>
      </c>
      <c r="H26" s="30">
        <f t="array" ref="H26">IF($G26="","",TEXTJOIN("",TRUE,MID($B26,MID($G26,SEQUENCE(LEN($G26),1),1)+0,1)))</f>
        <v/>
      </c>
      <c r="I26" s="30">
        <f>IF(OR(D26="",D26="Omit"),"",IF(D26="B","",IF(D26="A",IF(COUNTIF(D25:D$10,"B")=0,"Perseverative","Regressive"),IF(D26="C","Irrelevant",IF(D26="D","Novel","")))))</f>
        <v/>
      </c>
      <c r="J26" s="48" t="n"/>
    </row>
    <row r="27">
      <c r="A27" s="29" t="n">
        <v>18</v>
      </c>
      <c r="B27" s="29" t="inlineStr">
        <is>
          <t>BCDA</t>
        </is>
      </c>
      <c r="C27" s="47">
        <f t="array" ref="C27">IFS(D27="","", D27="A","SE", D27="B","NW", D27="C","NE", D27="D","SW",D27="Omit", "")</f>
        <v/>
      </c>
      <c r="D27" s="51" t="inlineStr">
        <is>
          <t>A</t>
        </is>
      </c>
      <c r="E27" s="30">
        <f>IF(D27="","",IF(D27="B","Correct","Incorrect"))</f>
        <v/>
      </c>
      <c r="F27" s="53" t="n">
        <v>14</v>
      </c>
      <c r="G27" s="48" t="inlineStr">
        <is>
          <t>234</t>
        </is>
      </c>
      <c r="H27" s="30">
        <f t="array" ref="H27">IF($G27="","",TEXTJOIN("",TRUE,MID($B27,MID($G27,SEQUENCE(LEN($G27),1),1)+0,1)))</f>
        <v/>
      </c>
      <c r="I27" s="30">
        <f>IF(OR(D27="",D27="Omit"),"",IF(D27="B","",IF(D27="A",IF(COUNTIF(D26:D$10,"B")=0,"Perseverative","Regressive"),IF(D27="C","Irrelevant",IF(D27="D","Novel","")))))</f>
        <v/>
      </c>
      <c r="J27" s="48" t="n"/>
    </row>
    <row r="28">
      <c r="A28" s="29" t="n">
        <v>19</v>
      </c>
      <c r="B28" s="29" t="inlineStr">
        <is>
          <t>CDAB</t>
        </is>
      </c>
      <c r="C28" s="47">
        <f t="array" ref="C28">IFS(D28="","", D28="A","SW", D28="B","SE", D28="C","NW", D28="D","NE",D28="Omit", "")</f>
        <v/>
      </c>
      <c r="D28" s="51" t="inlineStr">
        <is>
          <t>B</t>
        </is>
      </c>
      <c r="E28" s="30">
        <f>IF(D28="","",IF(D28="B","Correct","Incorrect"))</f>
        <v/>
      </c>
      <c r="F28" s="53" t="n">
        <v>36</v>
      </c>
      <c r="G28" s="48" t="inlineStr">
        <is>
          <t>13214</t>
        </is>
      </c>
      <c r="H28" s="30">
        <f t="array" ref="H28">IF($G28="","",TEXTJOIN("",TRUE,MID($B28,MID($G28,SEQUENCE(LEN($G28),1),1)+0,1)))</f>
        <v/>
      </c>
      <c r="I28" s="30">
        <f>IF(OR(D28="",D28="Omit"),"",IF(D28="B","",IF(D28="A",IF(COUNTIF(D27:D$10,"B")=0,"Perseverative","Regressive"),IF(D28="C","Irrelevant",IF(D28="D","Novel","")))))</f>
        <v/>
      </c>
      <c r="J28" s="48" t="n"/>
    </row>
    <row r="29">
      <c r="A29" s="29" t="n">
        <v>20</v>
      </c>
      <c r="B29" s="29" t="inlineStr">
        <is>
          <t>DABC</t>
        </is>
      </c>
      <c r="C29" s="47">
        <f t="array" ref="C29">IFS(D29="","", D29="A","NE", D29="B","SW", D29="C","SE", D29="D","NW",D29="Omit", "")</f>
        <v/>
      </c>
      <c r="D29" s="51" t="inlineStr">
        <is>
          <t>A</t>
        </is>
      </c>
      <c r="E29" s="30">
        <f>IF(D29="","",IF(D29="B","Correct","Incorrect"))</f>
        <v/>
      </c>
      <c r="F29" s="53" t="n">
        <v>17</v>
      </c>
      <c r="G29" s="48" t="inlineStr">
        <is>
          <t>2312</t>
        </is>
      </c>
      <c r="H29" s="30">
        <f t="array" ref="H29">IF($G29="","",TEXTJOIN("",TRUE,MID($B29,MID($G29,SEQUENCE(LEN($G29),1),1)+0,1)))</f>
        <v/>
      </c>
      <c r="I29" s="30">
        <f>IF(OR(D29="",D29="Omit"),"",IF(D29="B","",IF(D29="A",IF(COUNTIF(D28:D$10,"B")=0,"Perseverative","Regressive"),IF(D29="C","Irrelevant",IF(D29="D","Novel","")))))</f>
        <v/>
      </c>
      <c r="J29" s="48" t="n"/>
    </row>
    <row r="30">
      <c r="A30" s="29" t="n">
        <v>21</v>
      </c>
      <c r="B30" s="29" t="inlineStr">
        <is>
          <t>ABCD</t>
        </is>
      </c>
      <c r="C30" s="47">
        <f t="array" ref="C30">IFS(D30="","", D30="A","NW", D30="B","NE", D30="C","SW", D30="D","SE",D30="Omit", "")</f>
        <v/>
      </c>
      <c r="D30" s="51" t="inlineStr">
        <is>
          <t>B</t>
        </is>
      </c>
      <c r="E30" s="30">
        <f>IF(D30="","",IF(D30="B","Correct","Incorrect"))</f>
        <v/>
      </c>
      <c r="F30" s="53" t="n">
        <v>20</v>
      </c>
      <c r="G30" s="48" t="inlineStr">
        <is>
          <t>141342</t>
        </is>
      </c>
      <c r="H30" s="30">
        <f t="array" ref="H30">IF($G30="","",TEXTJOIN("",TRUE,MID($B30,MID($G30,SEQUENCE(LEN($G30),1),1)+0,1)))</f>
        <v/>
      </c>
      <c r="I30" s="30">
        <f>IF(OR(D30="",D30="Omit"),"",IF(D30="B","",IF(D30="A",IF(COUNTIF(D29:D$10,"B")=0,"Perseverative","Regressive"),IF(D30="C","Irrelevant",IF(D30="D","Novel","")))))</f>
        <v/>
      </c>
      <c r="J30" s="48" t="n"/>
    </row>
    <row r="31">
      <c r="A31" s="29" t="n">
        <v>22</v>
      </c>
      <c r="B31" s="29" t="inlineStr">
        <is>
          <t>BCDA</t>
        </is>
      </c>
      <c r="C31" s="47">
        <f t="array" ref="C31">IFS(D31="","", D31="A","SE", D31="B","NW", D31="C","NE", D31="D","SW",D31="Omit", "")</f>
        <v/>
      </c>
      <c r="D31" s="51" t="inlineStr">
        <is>
          <t>B</t>
        </is>
      </c>
      <c r="E31" s="30">
        <f>IF(D31="","",IF(D31="B","Correct","Incorrect"))</f>
        <v/>
      </c>
      <c r="F31" s="53" t="n">
        <v>4</v>
      </c>
      <c r="G31" s="48" t="inlineStr">
        <is>
          <t>1</t>
        </is>
      </c>
      <c r="H31" s="30">
        <f t="array" ref="H31">IF($G31="","",TEXTJOIN("",TRUE,MID($B31,MID($G31,SEQUENCE(LEN($G31),1),1)+0,1)))</f>
        <v/>
      </c>
      <c r="I31" s="30">
        <f>IF(OR(D31="",D31="Omit"),"",IF(D31="B","",IF(D31="A",IF(COUNTIF(D30:D$10,"B")=0,"Perseverative","Regressive"),IF(D31="C","Irrelevant",IF(D31="D","Novel","")))))</f>
        <v/>
      </c>
      <c r="J31" s="48" t="n"/>
    </row>
    <row r="32">
      <c r="A32" s="29" t="n">
        <v>23</v>
      </c>
      <c r="B32" s="29" t="inlineStr">
        <is>
          <t>CDAB</t>
        </is>
      </c>
      <c r="C32" s="47">
        <f t="array" ref="C32">IFS(D32="","", D32="A","SW", D32="B","SE", D32="C","NW", D32="D","NE",D32="Omit", "")</f>
        <v/>
      </c>
      <c r="D32" s="51" t="inlineStr">
        <is>
          <t>B</t>
        </is>
      </c>
      <c r="E32" s="30">
        <f>IF(D32="","",IF(D32="B","Correct","Incorrect"))</f>
        <v/>
      </c>
      <c r="F32" s="53" t="n">
        <v>11</v>
      </c>
      <c r="G32" s="48" t="inlineStr">
        <is>
          <t>124</t>
        </is>
      </c>
      <c r="H32" s="30">
        <f t="array" ref="H32">IF($G32="","",TEXTJOIN("",TRUE,MID($B32,MID($G32,SEQUENCE(LEN($G32),1),1)+0,1)))</f>
        <v/>
      </c>
      <c r="I32" s="30">
        <f>IF(OR(D32="",D32="Omit"),"",IF(D32="B","",IF(D32="A",IF(COUNTIF(D31:D$10,"B")=0,"Perseverative","Regressive"),IF(D32="C","Irrelevant",IF(D32="D","Novel","")))))</f>
        <v/>
      </c>
      <c r="J32" s="48" t="n"/>
    </row>
    <row r="33">
      <c r="A33" s="29" t="n">
        <v>24</v>
      </c>
      <c r="B33" s="29" t="inlineStr">
        <is>
          <t>DABC</t>
        </is>
      </c>
      <c r="C33" s="47">
        <f t="array" ref="C33">IFS(D33="","", D33="A","NE", D33="B","SW", D33="C","SE", D33="D","NW",D33="Omit", "")</f>
        <v/>
      </c>
      <c r="D33" s="51" t="inlineStr">
        <is>
          <t>B</t>
        </is>
      </c>
      <c r="E33" s="30">
        <f>IF(D33="","",IF(D33="B","Correct","Incorrect"))</f>
        <v/>
      </c>
      <c r="F33" s="53" t="n">
        <v>5</v>
      </c>
      <c r="G33" s="48" t="inlineStr">
        <is>
          <t>3</t>
        </is>
      </c>
      <c r="H33" s="30">
        <f t="array" ref="H33">IF($G33="","",TEXTJOIN("",TRUE,MID($B33,MID($G33,SEQUENCE(LEN($G33),1),1)+0,1)))</f>
        <v/>
      </c>
      <c r="I33" s="30">
        <f>IF(OR(D33="",D33="Omit"),"",IF(D33="B","",IF(D33="A",IF(COUNTIF(D32:D$10,"B")=0,"Perseverative","Regressive"),IF(D33="C","Irrelevant",IF(D33="D","Novel","")))))</f>
        <v/>
      </c>
      <c r="J33" s="48" t="n"/>
    </row>
    <row r="34">
      <c r="A34" s="29" t="n">
        <v>25</v>
      </c>
      <c r="B34" s="29" t="inlineStr">
        <is>
          <t>ABCD</t>
        </is>
      </c>
      <c r="C34" s="47">
        <f t="array" ref="C34">IFS(D34="","", D34="A","NW", D34="B","NE", D34="C","SW", D34="D","SE",D34="Omit", "")</f>
        <v/>
      </c>
      <c r="D34" s="51" t="inlineStr">
        <is>
          <t>B</t>
        </is>
      </c>
      <c r="E34" s="30">
        <f>IF(D34="","",IF(D34="B","Correct","Incorrect"))</f>
        <v/>
      </c>
      <c r="F34" s="53" t="n">
        <v>8</v>
      </c>
      <c r="G34" s="48" t="inlineStr">
        <is>
          <t>42</t>
        </is>
      </c>
      <c r="H34" s="30">
        <f t="array" ref="H34">IF($G34="","",TEXTJOIN("",TRUE,MID($B34,MID($G34,SEQUENCE(LEN($G34),1),1)+0,1)))</f>
        <v/>
      </c>
      <c r="I34" s="30">
        <f>IF(OR(D34="",D34="Omit"),"",IF(D34="B","",IF(D34="A",IF(COUNTIF(D33:D$10,"B")=0,"Perseverative","Regressive"),IF(D34="C","Irrelevant",IF(D34="D","Novel","")))))</f>
        <v/>
      </c>
      <c r="J34" s="48" t="n"/>
    </row>
    <row r="35">
      <c r="A35" s="29" t="n">
        <v>26</v>
      </c>
      <c r="B35" s="29" t="inlineStr">
        <is>
          <t>BCDA</t>
        </is>
      </c>
      <c r="C35" s="47">
        <f t="array" ref="C35">IFS(D35="","", D35="A","SE", D35="B","NW", D35="C","NE", D35="D","SW",D35="Omit", "")</f>
        <v/>
      </c>
      <c r="D35" s="51" t="inlineStr">
        <is>
          <t>B</t>
        </is>
      </c>
      <c r="E35" s="30">
        <f>IF(D35="","",IF(D35="B","Correct","Incorrect"))</f>
        <v/>
      </c>
      <c r="F35" s="53" t="n">
        <v>16</v>
      </c>
      <c r="G35" s="48" t="inlineStr">
        <is>
          <t>3421</t>
        </is>
      </c>
      <c r="H35" s="30">
        <f t="array" ref="H35">IF($G35="","",TEXTJOIN("",TRUE,MID($B35,MID($G35,SEQUENCE(LEN($G35),1),1)+0,1)))</f>
        <v/>
      </c>
      <c r="I35" s="30">
        <f>IF(OR(D35="",D35="Omit"),"",IF(D35="B","",IF(D35="A",IF(COUNTIF(D34:D$10,"B")=0,"Perseverative","Regressive"),IF(D35="C","Irrelevant",IF(D35="D","Novel","")))))</f>
        <v/>
      </c>
      <c r="J35" s="48" t="n"/>
    </row>
    <row r="36">
      <c r="A36" s="29" t="n">
        <v>27</v>
      </c>
      <c r="B36" s="29" t="inlineStr">
        <is>
          <t>CDAB</t>
        </is>
      </c>
      <c r="C36" s="47">
        <f t="array" ref="C36">IFS(D36="","", D36="A","SW", D36="B","SE", D36="C","NW", D36="D","NE",D36="Omit", "")</f>
        <v/>
      </c>
      <c r="D36" s="51" t="inlineStr">
        <is>
          <t>B</t>
        </is>
      </c>
      <c r="E36" s="30">
        <f>IF(D36="","",IF(D36="B","Correct","Incorrect"))</f>
        <v/>
      </c>
      <c r="F36" s="53" t="n">
        <v>14</v>
      </c>
      <c r="G36" s="48" t="inlineStr">
        <is>
          <t>2134</t>
        </is>
      </c>
      <c r="H36" s="30">
        <f t="array" ref="H36">IF($G36="","",TEXTJOIN("",TRUE,MID($B36,MID($G36,SEQUENCE(LEN($G36),1),1)+0,1)))</f>
        <v/>
      </c>
      <c r="I36" s="30">
        <f>IF(OR(D36="",D36="Omit"),"",IF(D36="B","",IF(D36="A",IF(COUNTIF(D35:D$10,"B")=0,"Perseverative","Regressive"),IF(D36="C","Irrelevant",IF(D36="D","Novel","")))))</f>
        <v/>
      </c>
      <c r="J36" s="48" t="n"/>
    </row>
    <row r="37">
      <c r="A37" s="29" t="n">
        <v>28</v>
      </c>
      <c r="B37" s="29" t="inlineStr">
        <is>
          <t>DABC</t>
        </is>
      </c>
      <c r="C37" s="47">
        <f t="array" ref="C37">IFS(D37="","", D37="A","NE", D37="B","SW", D37="C","SE", D37="D","NW",D37="Omit", "")</f>
        <v/>
      </c>
      <c r="D37" s="51" t="n"/>
      <c r="E37" s="30">
        <f>IF(D37="","",IF(D37="B","Correct","Incorrect"))</f>
        <v/>
      </c>
      <c r="F37" s="53" t="n"/>
      <c r="G37" s="48" t="n"/>
      <c r="H37" s="30">
        <f t="array" ref="H37">IF($G37="","",TEXTJOIN("",TRUE,MID($B37,MID($G37,SEQUENCE(LEN($G37),1),1)+0,1)))</f>
        <v/>
      </c>
      <c r="I37" s="30">
        <f>IF(OR(D37="",D37="Omit"),"",IF(D37="B","",IF(D37="A",IF(COUNTIF(D36:D$10,"B")=0,"Perseverative","Regressive"),IF(D37="C","Irrelevant",IF(D37="D","Novel","")))))</f>
        <v/>
      </c>
      <c r="J37" s="48" t="n"/>
    </row>
    <row r="38">
      <c r="A38" s="29" t="n">
        <v>29</v>
      </c>
      <c r="B38" s="29" t="inlineStr">
        <is>
          <t>ABCD</t>
        </is>
      </c>
      <c r="C38" s="47">
        <f t="array" ref="C38">IFS(D38="","", D38="A","NW", D38="B","NE", D38="C","SW", D38="D","SE",D38="Omit", "")</f>
        <v/>
      </c>
      <c r="D38" s="51" t="n"/>
      <c r="E38" s="30">
        <f>IF(D38="","",IF(D38="B","Correct","Incorrect"))</f>
        <v/>
      </c>
      <c r="F38" s="53" t="n"/>
      <c r="G38" s="48" t="n"/>
      <c r="H38" s="30">
        <f t="array" ref="H38">IF($G38="","",TEXTJOIN("",TRUE,MID($B38,MID($G38,SEQUENCE(LEN($G38),1),1)+0,1)))</f>
        <v/>
      </c>
      <c r="I38" s="30">
        <f>IF(OR(D38="",D38="Omit"),"",IF(D38="B","",IF(D38="A",IF(COUNTIF(D37:D$10,"B")=0,"Perseverative","Regressive"),IF(D38="C","Irrelevant",IF(D38="D","Novel","")))))</f>
        <v/>
      </c>
      <c r="J38" s="48" t="n"/>
    </row>
    <row r="39">
      <c r="A39" s="29" t="n">
        <v>30</v>
      </c>
      <c r="B39" s="29" t="inlineStr">
        <is>
          <t>BCDA</t>
        </is>
      </c>
      <c r="C39" s="47">
        <f t="array" ref="C39">IFS(D39="","", D39="A","SE", D39="B","NW", D39="C","NE", D39="D","SW",D39="Omit", "")</f>
        <v/>
      </c>
      <c r="D39" s="51" t="n"/>
      <c r="E39" s="30">
        <f>IF(D39="","",IF(D39="B","Correct","Incorrect"))</f>
        <v/>
      </c>
      <c r="F39" s="53" t="n"/>
      <c r="G39" s="48" t="n"/>
      <c r="H39" s="30">
        <f t="array" ref="H39">IF($G39="","",TEXTJOIN("",TRUE,MID($B39,MID($G39,SEQUENCE(LEN($G39),1),1)+0,1)))</f>
        <v/>
      </c>
      <c r="I39" s="30">
        <f>IF(OR(D39="",D39="Omit"),"",IF(D39="B","",IF(D39="A",IF(COUNTIF(D38:D$10,"B")=0,"Perseverative","Regressive"),IF(D39="C","Irrelevant",IF(D39="D","Novel","")))))</f>
        <v/>
      </c>
      <c r="J39" s="48" t="n"/>
    </row>
    <row r="40">
      <c r="A40" s="29" t="n">
        <v>31</v>
      </c>
      <c r="B40" s="29" t="inlineStr">
        <is>
          <t>CDAB</t>
        </is>
      </c>
      <c r="C40" s="47">
        <f t="array" ref="C40">IFS(D40="","", D40="A","NW", D40="B","NE", D40="C","SW", D40="D","SE",D40="Omit", "")</f>
        <v/>
      </c>
      <c r="D40" s="51" t="n"/>
      <c r="E40" s="30">
        <f>IF(D40="","",IF(D40="B","Correct","Incorrect"))</f>
        <v/>
      </c>
      <c r="F40" s="53" t="n"/>
      <c r="G40" s="48" t="n"/>
      <c r="H40" s="30">
        <f t="array" ref="H40">IF($G40="","",TEXTJOIN("",TRUE,MID($B40,MID($G40,SEQUENCE(LEN($G40),1),1)+0,1)))</f>
        <v/>
      </c>
      <c r="I40" s="30">
        <f>IF(OR(D40="",D40="Omit"),"",IF(D40="B","",IF(D40="A",IF(COUNTIF(D39:D$10,"B")=0,"Perseverative","Regressive"),IF(D40="C","Irrelevant",IF(D40="D","Novel","")))))</f>
        <v/>
      </c>
      <c r="J40" s="48" t="n"/>
    </row>
    <row r="41">
      <c r="A41" s="29" t="n">
        <v>32</v>
      </c>
      <c r="B41" s="29" t="inlineStr">
        <is>
          <t>DABC</t>
        </is>
      </c>
      <c r="C41" s="47">
        <f t="array" ref="C41">IFS(D41="","", D41="A","SE", D41="B","NW", D41="C","NE", D41="D","SW",D41="Omit", "")</f>
        <v/>
      </c>
      <c r="D41" s="51" t="n"/>
      <c r="E41" s="30">
        <f>IF(D41="","",IF(D41="B","Correct","Incorrect"))</f>
        <v/>
      </c>
      <c r="F41" s="53" t="n"/>
      <c r="G41" s="48" t="n"/>
      <c r="H41" s="30">
        <f t="array" ref="H41">IF($G41="","",TEXTJOIN("",TRUE,MID($B41,MID($G41,SEQUENCE(LEN($G41),1),1)+0,1)))</f>
        <v/>
      </c>
      <c r="I41" s="30">
        <f>IF(OR(D41="",D41="Omit"),"",IF(D41="B","",IF(D41="A",IF(COUNTIF(D40:D$10,"B")=0,"Perseverative","Regressive"),IF(D41="C","Irrelevant",IF(D41="D","Novel","")))))</f>
        <v/>
      </c>
      <c r="J41" s="48" t="n"/>
    </row>
    <row r="42">
      <c r="A42" s="29" t="n">
        <v>33</v>
      </c>
      <c r="B42" s="29" t="inlineStr">
        <is>
          <t>ABCD</t>
        </is>
      </c>
      <c r="C42" s="47">
        <f t="array" ref="C42">IFS(D42="","", D42="A","SW", D42="B","SE", D42="C","NW", D42="D","NE",D42="Omit", "")</f>
        <v/>
      </c>
      <c r="D42" s="51" t="n"/>
      <c r="E42" s="30">
        <f>IF(D42="","",IF(D42="B","Correct","Incorrect"))</f>
        <v/>
      </c>
      <c r="F42" s="53" t="n"/>
      <c r="G42" s="48" t="n"/>
      <c r="H42" s="30">
        <f t="array" ref="H42">IF($G42="","",TEXTJOIN("",TRUE,MID($B42,MID($G42,SEQUENCE(LEN($G42),1),1)+0,1)))</f>
        <v/>
      </c>
      <c r="I42" s="30">
        <f>IF(OR(D42="",D42="Omit"),"",IF(D42="B","",IF(D42="A",IF(COUNTIF(D41:D$10,"B")=0,"Perseverative","Regressive"),IF(D42="C","Irrelevant",IF(D42="D","Novel","")))))</f>
        <v/>
      </c>
      <c r="J42" s="48" t="n"/>
    </row>
    <row r="43">
      <c r="A43" s="29" t="n">
        <v>34</v>
      </c>
      <c r="B43" s="29" t="inlineStr">
        <is>
          <t>BCDA</t>
        </is>
      </c>
      <c r="C43" s="47">
        <f t="array" ref="C43">IFS(D43="","", D43="A","NE", D43="B","SW", D43="C","SE", D43="D","NW",D43="Omit", "")</f>
        <v/>
      </c>
      <c r="D43" s="51" t="n"/>
      <c r="E43" s="30">
        <f>IF(D43="","",IF(D43="B","Correct","Incorrect"))</f>
        <v/>
      </c>
      <c r="F43" s="53" t="n"/>
      <c r="G43" s="48" t="n"/>
      <c r="H43" s="30">
        <f t="array" ref="H43">IF($G43="","",TEXTJOIN("",TRUE,MID($B43,MID($G43,SEQUENCE(LEN($G43),1),1)+0,1)))</f>
        <v/>
      </c>
      <c r="I43" s="30">
        <f>IF(OR(D43="",D43="Omit"),"",IF(D43="B","",IF(D43="A",IF(COUNTIF(D42:D$10,"B")=0,"Perseverative","Regressive"),IF(D43="C","Irrelevant",IF(D43="D","Novel","")))))</f>
        <v/>
      </c>
      <c r="J43" s="48" t="n"/>
    </row>
    <row r="44">
      <c r="A44" s="29" t="n">
        <v>35</v>
      </c>
      <c r="B44" s="29" t="inlineStr">
        <is>
          <t>CDAB</t>
        </is>
      </c>
      <c r="C44" s="47">
        <f t="array" ref="C44">IFS(D44="","", D44="A","NW", D44="B","NE", D44="C","SW", D44="D","SE",D44="Omit", "")</f>
        <v/>
      </c>
      <c r="D44" s="51" t="n"/>
      <c r="E44" s="30">
        <f>IF(D44="","",IF(D44="B","Correct","Incorrect"))</f>
        <v/>
      </c>
      <c r="F44" s="53" t="n"/>
      <c r="G44" s="48" t="n"/>
      <c r="H44" s="30">
        <f t="array" ref="H44">IF($G44="","",TEXTJOIN("",TRUE,MID($B44,MID($G44,SEQUENCE(LEN($G44),1),1)+0,1)))</f>
        <v/>
      </c>
      <c r="I44" s="30">
        <f>IF(OR(D44="",D44="Omit"),"",IF(D44="B","",IF(D44="A",IF(COUNTIF(D43:D$10,"B")=0,"Perseverative","Regressive"),IF(D44="C","Irrelevant",IF(D44="D","Novel","")))))</f>
        <v/>
      </c>
      <c r="J44" s="48" t="n"/>
    </row>
    <row r="45">
      <c r="A45" s="29" t="n">
        <v>36</v>
      </c>
      <c r="B45" s="29" t="inlineStr">
        <is>
          <t>DABC</t>
        </is>
      </c>
      <c r="C45" s="47">
        <f t="array" ref="C45">IFS(D45="","", D45="A","SE", D45="B","NW", D45="C","NE", D45="D","SW",D45="Omit", "")</f>
        <v/>
      </c>
      <c r="D45" s="51" t="n"/>
      <c r="E45" s="30">
        <f>IF(D45="","",IF(D45="B","Correct","Incorrect"))</f>
        <v/>
      </c>
      <c r="F45" s="53" t="n"/>
      <c r="G45" s="48" t="n"/>
      <c r="H45" s="30">
        <f t="array" ref="H45">IF($G45="","",TEXTJOIN("",TRUE,MID($B45,MID($G45,SEQUENCE(LEN($G45),1),1)+0,1)))</f>
        <v/>
      </c>
      <c r="I45" s="30">
        <f>IF(OR(D45="",D45="Omit"),"",IF(D45="B","",IF(D45="A",IF(COUNTIF(D44:D$10,"B")=0,"Perseverative","Regressive"),IF(D45="C","Irrelevant",IF(D45="D","Novel","")))))</f>
        <v/>
      </c>
      <c r="J45" s="48" t="n"/>
    </row>
    <row r="46">
      <c r="A46" s="29" t="n">
        <v>37</v>
      </c>
      <c r="B46" s="29" t="inlineStr">
        <is>
          <t>ABCD</t>
        </is>
      </c>
      <c r="C46" s="47">
        <f t="array" ref="C46">IFS(D46="","", D46="A","SW", D46="B","SE", D46="C","NW", D46="D","NE",D46="Omit", "")</f>
        <v/>
      </c>
      <c r="D46" s="51" t="n"/>
      <c r="E46" s="30">
        <f>IF(D46="","",IF(D46="B","Correct","Incorrect"))</f>
        <v/>
      </c>
      <c r="F46" s="53" t="n"/>
      <c r="G46" s="48" t="n"/>
      <c r="H46" s="30">
        <f t="array" ref="H46">IF($G46="","",TEXTJOIN("",TRUE,MID($B46,MID($G46,SEQUENCE(LEN($G46),1),1)+0,1)))</f>
        <v/>
      </c>
      <c r="I46" s="30">
        <f>IF(OR(D46="",D46="Omit"),"",IF(D46="B","",IF(D46="A",IF(COUNTIF(D45:D$10,"B")=0,"Perseverative","Regressive"),IF(D46="C","Irrelevant",IF(D46="D","Novel","")))))</f>
        <v/>
      </c>
      <c r="J46" s="48" t="n"/>
    </row>
    <row r="47">
      <c r="A47" s="29" t="n">
        <v>38</v>
      </c>
      <c r="B47" s="29" t="inlineStr">
        <is>
          <t>BCDA</t>
        </is>
      </c>
      <c r="C47" s="47">
        <f t="array" ref="C47">IFS(D47="","", D47="A","NE", D47="B","SW", D47="C","SE", D47="D","NW",D47="Omit", "")</f>
        <v/>
      </c>
      <c r="D47" s="51" t="n"/>
      <c r="E47" s="30">
        <f>IF(D47="","",IF(D47="B","Correct","Incorrect"))</f>
        <v/>
      </c>
      <c r="F47" s="53" t="n"/>
      <c r="G47" s="48" t="n"/>
      <c r="H47" s="30">
        <f t="array" ref="H47">IF($G47="","",TEXTJOIN("",TRUE,MID($B47,MID($G47,SEQUENCE(LEN($G47),1),1)+0,1)))</f>
        <v/>
      </c>
      <c r="I47" s="30">
        <f>IF(OR(D47="",D47="Omit"),"",IF(D47="B","",IF(D47="A",IF(COUNTIF(D46:D$10,"B")=0,"Perseverative","Regressive"),IF(D47="C","Irrelevant",IF(D47="D","Novel","")))))</f>
        <v/>
      </c>
      <c r="J47" s="48" t="n"/>
    </row>
    <row r="48">
      <c r="A48" s="29" t="n">
        <v>39</v>
      </c>
      <c r="B48" s="29" t="inlineStr">
        <is>
          <t>CDAB</t>
        </is>
      </c>
      <c r="C48" s="47">
        <f t="array" ref="C48">IFS(D48="","", D48="A","NW", D48="B","NE", D48="C","SW", D48="D","SE",D48="Omit", "")</f>
        <v/>
      </c>
      <c r="D48" s="51" t="n"/>
      <c r="E48" s="30">
        <f>IF(D48="","",IF(D48="B","Correct","Incorrect"))</f>
        <v/>
      </c>
      <c r="F48" s="53" t="n"/>
      <c r="G48" s="48" t="n"/>
      <c r="H48" s="30">
        <f t="array" ref="H48">IF($G48="","",TEXTJOIN("",TRUE,MID($B48,MID($G48,SEQUENCE(LEN($G48),1),1)+0,1)))</f>
        <v/>
      </c>
      <c r="I48" s="30">
        <f>IF(OR(D48="",D48="Omit"),"",IF(D48="B","",IF(D48="A",IF(COUNTIF(D47:D$10,"B")=0,"Perseverative","Regressive"),IF(D48="C","Irrelevant",IF(D48="D","Novel","")))))</f>
        <v/>
      </c>
      <c r="J48" s="48" t="n"/>
    </row>
    <row r="49">
      <c r="A49" s="29" t="n">
        <v>40</v>
      </c>
      <c r="B49" s="29" t="inlineStr">
        <is>
          <t>DABC</t>
        </is>
      </c>
      <c r="C49" s="47">
        <f t="array" ref="C49">IFS(D49="","", D49="A","SE", D49="B","NW", D49="C","NE", D49="D","SW",D49="Omit", "")</f>
        <v/>
      </c>
      <c r="D49" s="51" t="n"/>
      <c r="E49" s="30">
        <f>IF(D49="","",IF(D49="B","Correct","Incorrect"))</f>
        <v/>
      </c>
      <c r="F49" s="53" t="n"/>
      <c r="G49" s="48" t="n"/>
      <c r="H49" s="30">
        <f t="array" ref="H49">IF($G49="","",TEXTJOIN("",TRUE,MID($B49,MID($G49,SEQUENCE(LEN($G49),1),1)+0,1)))</f>
        <v/>
      </c>
      <c r="I49" s="30">
        <f>IF(OR(D49="",D49="Omit"),"",IF(D49="B","",IF(D49="A",IF(COUNTIF(D48:D$10,"B")=0,"Perseverative","Regressive"),IF(D49="C","Irrelevant",IF(D49="D","Novel","")))))</f>
        <v/>
      </c>
      <c r="J49" s="48" t="n"/>
    </row>
    <row r="50">
      <c r="A50" s="29" t="n">
        <v>41</v>
      </c>
      <c r="B50" s="29" t="inlineStr">
        <is>
          <t>ABCD</t>
        </is>
      </c>
      <c r="C50" s="47">
        <f t="array" ref="C50">IFS(D50="","", D50="A","SW", D50="B","SE", D50="C","NW", D50="D","NE",D50="Omit", "")</f>
        <v/>
      </c>
      <c r="D50" s="51" t="n"/>
      <c r="E50" s="30">
        <f>IF(D50="","",IF(D50="B","Correct","Incorrect"))</f>
        <v/>
      </c>
      <c r="F50" s="53" t="n"/>
      <c r="G50" s="48" t="n"/>
      <c r="H50" s="30">
        <f t="array" ref="H50">IF($G50="","",TEXTJOIN("",TRUE,MID($B50,MID($G50,SEQUENCE(LEN($G50),1),1)+0,1)))</f>
        <v/>
      </c>
      <c r="I50" s="30">
        <f>IF(OR(D50="",D50="Omit"),"",IF(D50="B","",IF(D50="A",IF(COUNTIF(D49:D$10,"B")=0,"Perseverative","Regressive"),IF(D50="C","Irrelevant",IF(D50="D","Novel","")))))</f>
        <v/>
      </c>
      <c r="J50" s="48" t="n"/>
    </row>
    <row r="51">
      <c r="A51" s="29" t="n">
        <v>42</v>
      </c>
      <c r="B51" s="29" t="inlineStr">
        <is>
          <t>BCDA</t>
        </is>
      </c>
      <c r="C51" s="47">
        <f t="array" ref="C51">IFS(D51="","", D51="A","NE", D51="B","SW", D51="C","SE", D51="D","NW",D51="Omit", "")</f>
        <v/>
      </c>
      <c r="D51" s="51" t="n"/>
      <c r="E51" s="30">
        <f>IF(D51="","",IF(D51="B","Correct","Incorrect"))</f>
        <v/>
      </c>
      <c r="F51" s="53" t="n"/>
      <c r="G51" s="48" t="n"/>
      <c r="H51" s="30">
        <f t="array" ref="H51">IF($G51="","",TEXTJOIN("",TRUE,MID($B51,MID($G51,SEQUENCE(LEN($G51),1),1)+0,1)))</f>
        <v/>
      </c>
      <c r="I51" s="30">
        <f>IF(OR(D51="",D51="Omit"),"",IF(D51="B","",IF(D51="A",IF(COUNTIF(D50:D$10,"B")=0,"Perseverative","Regressive"),IF(D51="C","Irrelevant",IF(D51="D","Novel","")))))</f>
        <v/>
      </c>
      <c r="J51" s="48" t="n"/>
    </row>
    <row r="52">
      <c r="A52" s="29" t="n">
        <v>43</v>
      </c>
      <c r="B52" s="29" t="inlineStr">
        <is>
          <t>CDAB</t>
        </is>
      </c>
      <c r="C52" s="47">
        <f t="array" ref="C52">IFS(D52="","", D52="A","NW", D52="B","NE", D52="C","SW", D52="D","SE",D52="Omit", "")</f>
        <v/>
      </c>
      <c r="D52" s="51" t="n"/>
      <c r="E52" s="30">
        <f>IF(D52="","",IF(D52="B","Correct","Incorrect"))</f>
        <v/>
      </c>
      <c r="F52" s="53" t="n"/>
      <c r="G52" s="48" t="n"/>
      <c r="H52" s="30">
        <f t="array" ref="H52">IF($G52="","",TEXTJOIN("",TRUE,MID($B52,MID($G52,SEQUENCE(LEN($G52),1),1)+0,1)))</f>
        <v/>
      </c>
      <c r="I52" s="30">
        <f>IF(OR(D52="",D52="Omit"),"",IF(D52="B","",IF(D52="A",IF(COUNTIF(D51:D$10,"B")=0,"Perseverative","Regressive"),IF(D52="C","Irrelevant",IF(D52="D","Novel","")))))</f>
        <v/>
      </c>
      <c r="J52" s="48" t="n"/>
    </row>
    <row r="53">
      <c r="A53" s="29" t="n">
        <v>44</v>
      </c>
      <c r="B53" s="29" t="inlineStr">
        <is>
          <t>DABC</t>
        </is>
      </c>
      <c r="C53" s="47">
        <f t="array" ref="C53">IFS(D53="","", D53="A","SE", D53="B","NW", D53="C","NE", D53="D","SW",D53="Omit", "")</f>
        <v/>
      </c>
      <c r="D53" s="51" t="n"/>
      <c r="E53" s="30">
        <f>IF(D53="","",IF(D53="B","Correct","Incorrect"))</f>
        <v/>
      </c>
      <c r="F53" s="53" t="n"/>
      <c r="G53" s="48" t="n"/>
      <c r="H53" s="30">
        <f t="array" ref="H53">IF($G53="","",TEXTJOIN("",TRUE,MID($B53,MID($G53,SEQUENCE(LEN($G53),1),1)+0,1)))</f>
        <v/>
      </c>
      <c r="I53" s="30">
        <f>IF(OR(D53="",D53="Omit"),"",IF(D53="B","",IF(D53="A",IF(COUNTIF(D52:D$10,"B")=0,"Perseverative","Regressive"),IF(D53="C","Irrelevant",IF(D53="D","Novel","")))))</f>
        <v/>
      </c>
      <c r="J53" s="48" t="n"/>
    </row>
    <row r="54">
      <c r="A54" s="29" t="n">
        <v>45</v>
      </c>
      <c r="B54" s="29" t="inlineStr">
        <is>
          <t>ABCD</t>
        </is>
      </c>
      <c r="C54" s="47">
        <f t="array" ref="C54">IFS(D54="","", D54="A","SW", D54="B","SE", D54="C","NW", D54="D","NE",D54="Omit", "")</f>
        <v/>
      </c>
      <c r="D54" s="51" t="n"/>
      <c r="E54" s="30">
        <f>IF(D54="","",IF(D54="B","Correct","Incorrect"))</f>
        <v/>
      </c>
      <c r="F54" s="53" t="n"/>
      <c r="G54" s="48" t="n"/>
      <c r="H54" s="30">
        <f t="array" ref="H54">IF($G54="","",TEXTJOIN("",TRUE,MID($B54,MID($G54,SEQUENCE(LEN($G54),1),1)+0,1)))</f>
        <v/>
      </c>
      <c r="I54" s="30">
        <f>IF(OR(D54="",D54="Omit"),"",IF(D54="B","",IF(D54="A",IF(COUNTIF(D53:D$10,"B")=0,"Perseverative","Regressive"),IF(D54="C","Irrelevant",IF(D54="D","Novel","")))))</f>
        <v/>
      </c>
      <c r="J54" s="48" t="n"/>
    </row>
    <row r="55">
      <c r="A55" s="29" t="n">
        <v>46</v>
      </c>
      <c r="B55" s="29" t="inlineStr">
        <is>
          <t>BCDA</t>
        </is>
      </c>
      <c r="C55" s="47">
        <f t="array" ref="C55">IFS(D55="","", D55="A","NE", D55="B","SW", D55="C","SE", D55="D","NW",D55="Omit", "")</f>
        <v/>
      </c>
      <c r="D55" s="51" t="n"/>
      <c r="E55" s="30">
        <f>IF(D55="","",IF(D55="B","Correct","Incorrect"))</f>
        <v/>
      </c>
      <c r="F55" s="53" t="n"/>
      <c r="G55" s="48" t="n"/>
      <c r="H55" s="30">
        <f t="array" ref="H55">IF($G55="","",TEXTJOIN("",TRUE,MID($B55,MID($G55,SEQUENCE(LEN($G55),1),1)+0,1)))</f>
        <v/>
      </c>
      <c r="I55" s="30">
        <f>IF(OR(D55="",D55="Omit"),"",IF(D55="B","",IF(D55="A",IF(COUNTIF(D54:D$10,"B")=0,"Perseverative","Regressive"),IF(D55="C","Irrelevant",IF(D55="D","Novel","")))))</f>
        <v/>
      </c>
      <c r="J55" s="48" t="n"/>
    </row>
    <row r="56">
      <c r="A56" s="29" t="n">
        <v>47</v>
      </c>
      <c r="B56" s="29" t="inlineStr">
        <is>
          <t>CDAB</t>
        </is>
      </c>
      <c r="C56" s="47">
        <f t="array" ref="C56">IFS(D56="","", D56="A","NW", D56="B","NE", D56="C","SW", D56="D","SE",D56="Omit", "")</f>
        <v/>
      </c>
      <c r="D56" s="51" t="n"/>
      <c r="E56" s="30">
        <f>IF(D56="","",IF(D56="B","Correct","Incorrect"))</f>
        <v/>
      </c>
      <c r="F56" s="53" t="n"/>
      <c r="G56" s="48" t="n"/>
      <c r="H56" s="30">
        <f t="array" ref="H56">IF($G56="","",TEXTJOIN("",TRUE,MID($B56,MID($G56,SEQUENCE(LEN($G56),1),1)+0,1)))</f>
        <v/>
      </c>
      <c r="I56" s="30">
        <f>IF(OR(D56="",D56="Omit"),"",IF(D56="B","",IF(D56="A",IF(COUNTIF(D55:D$10,"B")=0,"Perseverative","Regressive"),IF(D56="C","Irrelevant",IF(D56="D","Novel","")))))</f>
        <v/>
      </c>
      <c r="J56" s="48" t="n"/>
    </row>
    <row r="57">
      <c r="A57" s="29" t="n">
        <v>48</v>
      </c>
      <c r="B57" s="29" t="inlineStr">
        <is>
          <t>DABC</t>
        </is>
      </c>
      <c r="C57" s="47">
        <f t="array" ref="C57">IFS(D57="","", D57="A","SE", D57="B","NW", D57="C","NE", D57="D","SW",D57="Omit", "")</f>
        <v/>
      </c>
      <c r="D57" s="51" t="n"/>
      <c r="E57" s="30">
        <f>IF(D57="","",IF(D57="B","Correct","Incorrect"))</f>
        <v/>
      </c>
      <c r="F57" s="53" t="n"/>
      <c r="G57" s="48" t="n"/>
      <c r="H57" s="30">
        <f t="array" ref="H57">IF($G57="","",TEXTJOIN("",TRUE,MID($B57,MID($G57,SEQUENCE(LEN($G57),1),1)+0,1)))</f>
        <v/>
      </c>
      <c r="I57" s="30">
        <f>IF(OR(D57="",D57="Omit"),"",IF(D57="B","",IF(D57="A",IF(COUNTIF(D56:D$10,"B")=0,"Perseverative","Regressive"),IF(D57="C","Irrelevant",IF(D57="D","Novel","")))))</f>
        <v/>
      </c>
      <c r="J57" s="48" t="n"/>
    </row>
    <row r="58">
      <c r="A58" s="29" t="n">
        <v>49</v>
      </c>
      <c r="B58" s="29" t="inlineStr">
        <is>
          <t>ABCD</t>
        </is>
      </c>
      <c r="C58" s="47">
        <f t="array" ref="C58">IFS(D58="","", D58="A","SW", D58="B","SE", D58="C","NW", D58="D","NE",D58="Omit", "")</f>
        <v/>
      </c>
      <c r="D58" s="51" t="n"/>
      <c r="E58" s="30">
        <f>IF(D58="","",IF(D58="B","Correct","Incorrect"))</f>
        <v/>
      </c>
      <c r="F58" s="53" t="n"/>
      <c r="G58" s="48" t="n"/>
      <c r="H58" s="30">
        <f t="array" ref="H58">IF($G58="","",TEXTJOIN("",TRUE,MID($B58,MID($G58,SEQUENCE(LEN($G58),1),1)+0,1)))</f>
        <v/>
      </c>
      <c r="I58" s="30">
        <f>IF(OR(D58="",D58="Omit"),"",IF(D58="B","",IF(D58="A",IF(COUNTIF(D57:D$10,"B")=0,"Perseverative","Regressive"),IF(D58="C","Irrelevant",IF(D58="D","Novel","")))))</f>
        <v/>
      </c>
      <c r="J58" s="48" t="n"/>
    </row>
    <row r="59">
      <c r="A59" s="29" t="n">
        <v>50</v>
      </c>
      <c r="B59" s="29" t="inlineStr">
        <is>
          <t>BCDA</t>
        </is>
      </c>
      <c r="C59" s="47">
        <f t="array" ref="C59">IFS(D59="","", D59="A","NE", D59="B","SW", D59="C","SE", D59="D","NW",D59="Omit", "")</f>
        <v/>
      </c>
      <c r="D59" s="51" t="n"/>
      <c r="E59" s="30">
        <f>IF(D59="","",IF(D59="B","Correct","Incorrect"))</f>
        <v/>
      </c>
      <c r="F59" s="53" t="n"/>
      <c r="G59" s="48" t="n"/>
      <c r="H59" s="30">
        <f t="array" ref="H59">IF($G59="","",TEXTJOIN("",TRUE,MID($B59,MID($G59,SEQUENCE(LEN($G59),1),1)+0,1)))</f>
        <v/>
      </c>
      <c r="I59" s="30">
        <f>IF(OR(D59="",D59="Omit"),"",IF(D59="B","",IF(D59="A",IF(COUNTIF(D58:D$10,"B")=0,"Perseverative","Regressive"),IF(D59="C","Irrelevant",IF(D59="D","Novel","")))))</f>
        <v/>
      </c>
      <c r="J59" s="48" t="n"/>
    </row>
    <row r="60">
      <c r="A60" s="29" t="n">
        <v>51</v>
      </c>
      <c r="B60" s="29" t="inlineStr">
        <is>
          <t>CDAB</t>
        </is>
      </c>
      <c r="C60" s="47">
        <f t="array" ref="C60">IFS(D60="","", D60="A","NW", D60="B","NE", D60="C","SW", D60="D","SE",D60="Omit", "")</f>
        <v/>
      </c>
      <c r="D60" s="51" t="n"/>
      <c r="E60" s="30">
        <f>IF(D60="","",IF(D60="B","Correct","Incorrect"))</f>
        <v/>
      </c>
      <c r="F60" s="53" t="n"/>
      <c r="G60" s="48" t="n"/>
      <c r="H60" s="30">
        <f t="array" ref="H60">IF($G60="","",TEXTJOIN("",TRUE,MID($B60,MID($G60,SEQUENCE(LEN($G60),1),1)+0,1)))</f>
        <v/>
      </c>
      <c r="I60" s="30">
        <f>IF(OR(D60="",D60="Omit"),"",IF(D60="B","",IF(D60="A",IF(COUNTIF(D59:D$10,"B")=0,"Perseverative","Regressive"),IF(D60="C","Irrelevant",IF(D60="D","Novel","")))))</f>
        <v/>
      </c>
      <c r="J60" s="48" t="n"/>
    </row>
    <row r="61">
      <c r="A61" s="29" t="n">
        <v>52</v>
      </c>
      <c r="B61" s="29" t="inlineStr">
        <is>
          <t>DABC</t>
        </is>
      </c>
      <c r="C61" s="47">
        <f t="array" ref="C61">IFS(D61="","", D61="A","SE", D61="B","NW", D61="C","NE", D61="D","SW",D61="Omit", "")</f>
        <v/>
      </c>
      <c r="D61" s="51" t="n"/>
      <c r="E61" s="30">
        <f>IF(D61="","",IF(D61="B","Correct","Incorrect"))</f>
        <v/>
      </c>
      <c r="F61" s="53" t="n"/>
      <c r="G61" s="48" t="n"/>
      <c r="H61" s="30">
        <f t="array" ref="H61">IF($G61="","",TEXTJOIN("",TRUE,MID($B61,MID($G61,SEQUENCE(LEN($G61),1),1)+0,1)))</f>
        <v/>
      </c>
      <c r="I61" s="30">
        <f>IF(OR(D61="",D61="Omit"),"",IF(D61="B","",IF(D61="A",IF(COUNTIF(D60:D$10,"B")=0,"Perseverative","Regressive"),IF(D61="C","Irrelevant",IF(D61="D","Novel","")))))</f>
        <v/>
      </c>
      <c r="J61" s="48" t="n"/>
    </row>
    <row r="62">
      <c r="A62" s="29" t="n">
        <v>53</v>
      </c>
      <c r="B62" s="29" t="inlineStr">
        <is>
          <t>ABCD</t>
        </is>
      </c>
      <c r="C62" s="47">
        <f t="array" ref="C62">IFS(D62="","", D62="A","SW", D62="B","SE", D62="C","NW", D62="D","NE",D62="Omit", "")</f>
        <v/>
      </c>
      <c r="D62" s="51" t="n"/>
      <c r="E62" s="30">
        <f>IF(D62="","",IF(D62="B","Correct","Incorrect"))</f>
        <v/>
      </c>
      <c r="F62" s="53" t="n"/>
      <c r="G62" s="48" t="n"/>
      <c r="H62" s="30">
        <f t="array" ref="H62">IF($G62="","",TEXTJOIN("",TRUE,MID($B62,MID($G62,SEQUENCE(LEN($G62),1),1)+0,1)))</f>
        <v/>
      </c>
      <c r="I62" s="30">
        <f>IF(OR(D62="",D62="Omit"),"",IF(D62="B","",IF(D62="A",IF(COUNTIF(D61:D$10,"B")=0,"Perseverative","Regressive"),IF(D62="C","Irrelevant",IF(D62="D","Novel","")))))</f>
        <v/>
      </c>
      <c r="J62" s="48" t="n"/>
    </row>
    <row r="63">
      <c r="A63" s="29" t="n">
        <v>54</v>
      </c>
      <c r="B63" s="29" t="inlineStr">
        <is>
          <t>BCDA</t>
        </is>
      </c>
      <c r="C63" s="47">
        <f t="array" ref="C63">IFS(D63="","", D63="A","NE", D63="B","SW", D63="C","SE", D63="D","NW",D63="Omit", "")</f>
        <v/>
      </c>
      <c r="D63" s="51" t="n"/>
      <c r="E63" s="30">
        <f>IF(D63="","",IF(D63="B","Correct","Incorrect"))</f>
        <v/>
      </c>
      <c r="F63" s="53" t="n"/>
      <c r="G63" s="48" t="n"/>
      <c r="H63" s="30">
        <f t="array" ref="H63">IF($G63="","",TEXTJOIN("",TRUE,MID($B63,MID($G63,SEQUENCE(LEN($G63),1),1)+0,1)))</f>
        <v/>
      </c>
      <c r="I63" s="30">
        <f>IF(OR(D63="",D63="Omit"),"",IF(D63="B","",IF(D63="A",IF(COUNTIF(D62:D$10,"B")=0,"Perseverative","Regressive"),IF(D63="C","Irrelevant",IF(D63="D","Novel","")))))</f>
        <v/>
      </c>
      <c r="J63" s="48" t="n"/>
    </row>
    <row r="64">
      <c r="A64" s="29" t="n">
        <v>55</v>
      </c>
      <c r="B64" s="29" t="inlineStr">
        <is>
          <t>CDAB</t>
        </is>
      </c>
      <c r="C64" s="47">
        <f t="array" ref="C64">IFS(D64="","", D64="A","NW", D64="B","NE", D64="C","SW", D64="D","SE",D64="Omit", "")</f>
        <v/>
      </c>
      <c r="D64" s="51" t="n"/>
      <c r="E64" s="30">
        <f>IF(D64="","",IF(D64="B","Correct","Incorrect"))</f>
        <v/>
      </c>
      <c r="F64" s="53" t="n"/>
      <c r="G64" s="48" t="n"/>
      <c r="H64" s="30">
        <f t="array" ref="H64">IF($G64="","",TEXTJOIN("",TRUE,MID($B64,MID($G64,SEQUENCE(LEN($G64),1),1)+0,1)))</f>
        <v/>
      </c>
      <c r="I64" s="30">
        <f>IF(OR(D64="",D64="Omit"),"",IF(D64="B","",IF(D64="A",IF(COUNTIF(D63:D$10,"B")=0,"Perseverative","Regressive"),IF(D64="C","Irrelevant",IF(D64="D","Novel","")))))</f>
        <v/>
      </c>
      <c r="J64" s="48" t="n"/>
    </row>
    <row r="65">
      <c r="A65" s="29" t="n">
        <v>56</v>
      </c>
      <c r="B65" s="29" t="inlineStr">
        <is>
          <t>DABC</t>
        </is>
      </c>
      <c r="C65" s="47">
        <f t="array" ref="C65">IFS(D65="","", D65="A","SE", D65="B","NW", D65="C","NE", D65="D","SW",D65="Omit", "")</f>
        <v/>
      </c>
      <c r="D65" s="51" t="n"/>
      <c r="E65" s="30">
        <f>IF(D65="","",IF(D65="B","Correct","Incorrect"))</f>
        <v/>
      </c>
      <c r="F65" s="53" t="n"/>
      <c r="G65" s="48" t="n"/>
      <c r="H65" s="30">
        <f t="array" ref="H65">IF($G65="","",TEXTJOIN("",TRUE,MID($B65,MID($G65,SEQUENCE(LEN($G65),1),1)+0,1)))</f>
        <v/>
      </c>
      <c r="I65" s="30">
        <f>IF(OR(D65="",D65="Omit"),"",IF(D65="B","",IF(D65="A",IF(COUNTIF(D64:D$10,"B")=0,"Perseverative","Regressive"),IF(D65="C","Irrelevant",IF(D65="D","Novel","")))))</f>
        <v/>
      </c>
      <c r="J65" s="48" t="n"/>
    </row>
    <row r="66">
      <c r="A66" s="29" t="n">
        <v>57</v>
      </c>
      <c r="B66" s="29" t="inlineStr">
        <is>
          <t>ABCD</t>
        </is>
      </c>
      <c r="C66" s="47">
        <f t="array" ref="C66">IFS(D66="","", D66="A","SW", D66="B","SE", D66="C","NW", D66="D","NE",D66="Omit", "")</f>
        <v/>
      </c>
      <c r="D66" s="51" t="n"/>
      <c r="E66" s="30">
        <f>IF(D66="","",IF(D66="B","Correct","Incorrect"))</f>
        <v/>
      </c>
      <c r="F66" s="53" t="n"/>
      <c r="G66" s="48" t="n"/>
      <c r="H66" s="30">
        <f t="array" ref="H66">IF($G66="","",TEXTJOIN("",TRUE,MID($B66,MID($G66,SEQUENCE(LEN($G66),1),1)+0,1)))</f>
        <v/>
      </c>
      <c r="I66" s="30">
        <f>IF(OR(D66="",D66="Omit"),"",IF(D66="B","",IF(D66="A",IF(COUNTIF(D65:D$10,"B")=0,"Perseverative","Regressive"),IF(D66="C","Irrelevant",IF(D66="D","Novel","")))))</f>
        <v/>
      </c>
      <c r="J66" s="48" t="n"/>
    </row>
    <row r="67">
      <c r="A67" s="29" t="n">
        <v>58</v>
      </c>
      <c r="B67" s="29" t="inlineStr">
        <is>
          <t>BCDA</t>
        </is>
      </c>
      <c r="C67" s="47">
        <f t="array" ref="C67">IFS(D67="","", D67="A","NE", D67="B","SW", D67="C","SE", D67="D","NW",D67="Omit", "")</f>
        <v/>
      </c>
      <c r="D67" s="51" t="n"/>
      <c r="E67" s="30">
        <f>IF(D67="","",IF(D67="B","Correct","Incorrect"))</f>
        <v/>
      </c>
      <c r="F67" s="53" t="n"/>
      <c r="G67" s="48" t="n"/>
      <c r="H67" s="30">
        <f t="array" ref="H67">IF($G67="","",TEXTJOIN("",TRUE,MID($B67,MID($G67,SEQUENCE(LEN($G67),1),1)+0,1)))</f>
        <v/>
      </c>
      <c r="I67" s="30">
        <f>IF(OR(D67="",D67="Omit"),"",IF(D67="B","",IF(D67="A",IF(COUNTIF(D66:D$10,"B")=0,"Perseverative","Regressive"),IF(D67="C","Irrelevant",IF(D67="D","Novel","")))))</f>
        <v/>
      </c>
      <c r="J67" s="48" t="n"/>
    </row>
    <row r="68">
      <c r="A68" s="29" t="n">
        <v>59</v>
      </c>
      <c r="B68" s="29" t="inlineStr">
        <is>
          <t>CDAB</t>
        </is>
      </c>
      <c r="C68" s="47">
        <f t="array" ref="C68">IFS(D68="","", D68="A","NW", D68="B","NE", D68="C","SW", D68="D","SE",D68="Omit", "")</f>
        <v/>
      </c>
      <c r="D68" s="51" t="n"/>
      <c r="E68" s="30">
        <f>IF(D68="","",IF(D68="B","Correct","Incorrect"))</f>
        <v/>
      </c>
      <c r="F68" s="53" t="n"/>
      <c r="G68" s="48" t="n"/>
      <c r="H68" s="30">
        <f t="array" ref="H68">IF($G68="","",TEXTJOIN("",TRUE,MID($B68,MID($G68,SEQUENCE(LEN($G68),1),1)+0,1)))</f>
        <v/>
      </c>
      <c r="I68" s="30">
        <f>IF(OR(D68="",D68="Omit"),"",IF(D68="B","",IF(D68="A",IF(COUNTIF(D67:D$10,"B")=0,"Perseverative","Regressive"),IF(D68="C","Irrelevant",IF(D68="D","Novel","")))))</f>
        <v/>
      </c>
      <c r="J68" s="48" t="n"/>
    </row>
    <row r="69">
      <c r="A69" s="29" t="n">
        <v>60</v>
      </c>
      <c r="B69" s="29" t="inlineStr">
        <is>
          <t>DABC</t>
        </is>
      </c>
      <c r="C69" s="47">
        <f t="array" ref="C69">IFS(D69="","", D69="A","SE", D69="B","NW", D69="C","NE", D69="D","SW",D69="Omit", "")</f>
        <v/>
      </c>
      <c r="D69" s="51" t="n"/>
      <c r="E69" s="30">
        <f>IF(D69="","",IF(D69="B","Correct","Incorrect"))</f>
        <v/>
      </c>
      <c r="F69" s="53" t="n"/>
      <c r="G69" s="48" t="n"/>
      <c r="H69" s="30">
        <f t="array" ref="H69">IF($G69="","",TEXTJOIN("",TRUE,MID($B69,MID($G69,SEQUENCE(LEN($G69),1),1)+0,1)))</f>
        <v/>
      </c>
      <c r="I69" s="30">
        <f>IF(OR(D69="",D69="Omit"),"",IF(D69="B","",IF(D69="A",IF(COUNTIF(D68:D$10,"B")=0,"Perseverative","Regressive"),IF(D69="C","Irrelevant",IF(D69="D","Novel","")))))</f>
        <v/>
      </c>
      <c r="J69" s="48" t="n"/>
    </row>
    <row r="70">
      <c r="A70" s="29" t="n">
        <v>61</v>
      </c>
      <c r="B70" s="29" t="inlineStr">
        <is>
          <t>ABCD</t>
        </is>
      </c>
      <c r="C70" s="47">
        <f t="array" ref="C70">IFS(D70="","", D70="A","NW", D70="B","NE", D70="C","SW", D70="D","SE",D70="Omit", "")</f>
        <v/>
      </c>
      <c r="D70" s="51" t="n"/>
      <c r="E70" s="30">
        <f>IF(D70="","",IF(D70="B","Correct","Incorrect"))</f>
        <v/>
      </c>
      <c r="F70" s="53" t="n"/>
      <c r="G70" s="48" t="n"/>
      <c r="H70" s="30">
        <f t="array" ref="H70">IF($G70="","",TEXTJOIN("",TRUE,MID($B70,MID($G70,SEQUENCE(LEN($G70),1),1)+0,1)))</f>
        <v/>
      </c>
      <c r="I70" s="30">
        <f>IF(OR(D70="",D70="Omit"),"",IF(D70="B","",IF(D70="A",IF(COUNTIF(D69:D$10,"B")=0,"Perseverative","Regressive"),IF(D70="C","Irrelevant",IF(D70="D","Novel","")))))</f>
        <v/>
      </c>
      <c r="J70" s="48" t="n"/>
    </row>
    <row r="71">
      <c r="A71" s="29" t="n">
        <v>62</v>
      </c>
      <c r="B71" s="29" t="inlineStr">
        <is>
          <t>BCDA</t>
        </is>
      </c>
      <c r="C71" s="47">
        <f t="array" ref="C71">IFS(D71="","", D71="A","SE", D71="B","NW", D71="C","NE", D71="D","SW",D71="Omit", "")</f>
        <v/>
      </c>
      <c r="D71" s="51" t="n"/>
      <c r="E71" s="30">
        <f>IF(D71="","",IF(D71="B","Correct","Incorrect"))</f>
        <v/>
      </c>
      <c r="F71" s="53" t="n"/>
      <c r="G71" s="48" t="n"/>
      <c r="H71" s="30">
        <f t="array" ref="H71">IF($G71="","",TEXTJOIN("",TRUE,MID($B71,MID($G71,SEQUENCE(LEN($G71),1),1)+0,1)))</f>
        <v/>
      </c>
      <c r="I71" s="30">
        <f>IF(OR(D71="",D71="Omit"),"",IF(D71="B","",IF(D71="A",IF(COUNTIF(D70:D$10,"B")=0,"Perseverative","Regressive"),IF(D71="C","Irrelevant",IF(D71="D","Novel","")))))</f>
        <v/>
      </c>
      <c r="J71" s="48" t="n"/>
    </row>
    <row r="72">
      <c r="A72" s="29" t="n">
        <v>63</v>
      </c>
      <c r="B72" s="29" t="inlineStr">
        <is>
          <t>CDAB</t>
        </is>
      </c>
      <c r="C72" s="47">
        <f t="array" ref="C72">IFS(D72="","", D72="A","SW", D72="B","SE", D72="C","NW", D72="D","NE",D72="Omit", "")</f>
        <v/>
      </c>
      <c r="D72" s="51" t="n"/>
      <c r="E72" s="30">
        <f>IF(D72="","",IF(D72="B","Correct","Incorrect"))</f>
        <v/>
      </c>
      <c r="F72" s="53" t="n"/>
      <c r="G72" s="48" t="n"/>
      <c r="H72" s="30">
        <f t="array" ref="H72">IF($G72="","",TEXTJOIN("",TRUE,MID($B72,MID($G72,SEQUENCE(LEN($G72),1),1)+0,1)))</f>
        <v/>
      </c>
      <c r="I72" s="30">
        <f>IF(OR(D72="",D72="Omit"),"",IF(D72="B","",IF(D72="A",IF(COUNTIF(D71:D$10,"B")=0,"Perseverative","Regressive"),IF(D72="C","Irrelevant",IF(D72="D","Novel","")))))</f>
        <v/>
      </c>
      <c r="J72" s="48" t="n"/>
    </row>
    <row r="73">
      <c r="A73" s="29" t="n">
        <v>64</v>
      </c>
      <c r="B73" s="29" t="inlineStr">
        <is>
          <t>DABC</t>
        </is>
      </c>
      <c r="C73" s="47">
        <f t="array" ref="C73">IFS(D73="","", D73="A","NE", D73="B","SW", D73="C","SE", D73="D","NW",D73="Omit", "")</f>
        <v/>
      </c>
      <c r="D73" s="51" t="n"/>
      <c r="E73" s="30">
        <f>IF(D73="","",IF(D73="B","Correct","Incorrect"))</f>
        <v/>
      </c>
      <c r="F73" s="53" t="n"/>
      <c r="G73" s="48" t="n"/>
      <c r="H73" s="30">
        <f t="array" ref="H73">IF($G73="","",TEXTJOIN("",TRUE,MID($B73,MID($G73,SEQUENCE(LEN($G73),1),1)+0,1)))</f>
        <v/>
      </c>
      <c r="I73" s="30">
        <f>IF(OR(D73="",D73="Omit"),"",IF(D73="B","",IF(D73="A",IF(COUNTIF(D72:D$10,"B")=0,"Perseverative","Regressive"),IF(D73="C","Irrelevant",IF(D73="D","Novel","")))))</f>
        <v/>
      </c>
      <c r="J73" s="48" t="n"/>
    </row>
    <row r="74">
      <c r="A74" s="29" t="n">
        <v>65</v>
      </c>
      <c r="B74" s="29" t="inlineStr">
        <is>
          <t>ABCD</t>
        </is>
      </c>
      <c r="C74" s="47">
        <f t="array" ref="C74">IFS(D74="","", D74="A","NW", D74="B","NE", D74="C","SW", D74="D","SE",D74="Omit", "")</f>
        <v/>
      </c>
      <c r="D74" s="51" t="n"/>
      <c r="E74" s="30">
        <f>IF(D74="","",IF(D74="B","Correct","Incorrect"))</f>
        <v/>
      </c>
      <c r="F74" s="53" t="n"/>
      <c r="G74" s="48" t="n"/>
      <c r="H74" s="30">
        <f t="array" ref="H74">IF($G74="","",TEXTJOIN("",TRUE,MID($B74,MID($G74,SEQUENCE(LEN($G74),1),1)+0,1)))</f>
        <v/>
      </c>
      <c r="I74" s="30">
        <f>IF(OR(D74="",D74="Omit"),"",IF(D74="B","",IF(D74="A",IF(COUNTIF(D73:D$10,"B")=0,"Perseverative","Regressive"),IF(D74="C","Irrelevant",IF(D74="D","Novel","")))))</f>
        <v/>
      </c>
      <c r="J74" s="48" t="n"/>
    </row>
    <row r="75">
      <c r="A75" s="29" t="n">
        <v>66</v>
      </c>
      <c r="B75" s="29" t="inlineStr">
        <is>
          <t>BCDA</t>
        </is>
      </c>
      <c r="C75" s="47">
        <f t="array" ref="C75">IFS(D75="","", D75="A","SE", D75="B","NW", D75="C","NE", D75="D","SW",D75="Omit", "")</f>
        <v/>
      </c>
      <c r="D75" s="51" t="n"/>
      <c r="E75" s="30">
        <f>IF(D75="","",IF(D75="B","Correct","Incorrect"))</f>
        <v/>
      </c>
      <c r="F75" s="53" t="n"/>
      <c r="G75" s="48" t="n"/>
      <c r="H75" s="30">
        <f t="array" ref="H75">IF($G75="","",TEXTJOIN("",TRUE,MID($B75,MID($G75,SEQUENCE(LEN($G75),1),1)+0,1)))</f>
        <v/>
      </c>
      <c r="I75" s="30">
        <f>IF(OR(D75="",D75="Omit"),"",IF(D75="B","",IF(D75="A",IF(COUNTIF(D74:D$10,"B")=0,"Perseverative","Regressive"),IF(D75="C","Irrelevant",IF(D75="D","Novel","")))))</f>
        <v/>
      </c>
      <c r="J75" s="48" t="n"/>
    </row>
    <row r="76">
      <c r="A76" s="29" t="n">
        <v>67</v>
      </c>
      <c r="B76" s="29" t="inlineStr">
        <is>
          <t>CDAB</t>
        </is>
      </c>
      <c r="C76" s="47">
        <f t="array" ref="C76">IFS(D76="","", D76="A","SW", D76="B","SE", D76="C","NW", D76="D","NE",D76="Omit", "")</f>
        <v/>
      </c>
      <c r="D76" s="51" t="n"/>
      <c r="E76" s="30">
        <f>IF(D76="","",IF(D76="B","Correct","Incorrect"))</f>
        <v/>
      </c>
      <c r="F76" s="53" t="n"/>
      <c r="G76" s="48" t="n"/>
      <c r="H76" s="30">
        <f t="array" ref="H76">IF($G76="","",TEXTJOIN("",TRUE,MID($B76,MID($G76,SEQUENCE(LEN($G76),1),1)+0,1)))</f>
        <v/>
      </c>
      <c r="I76" s="30">
        <f>IF(OR(D76="",D76="Omit"),"",IF(D76="B","",IF(D76="A",IF(COUNTIF(D75:D$10,"B")=0,"Perseverative","Regressive"),IF(D76="C","Irrelevant",IF(D76="D","Novel","")))))</f>
        <v/>
      </c>
      <c r="J76" s="48" t="n"/>
    </row>
    <row r="77">
      <c r="A77" s="29" t="n">
        <v>68</v>
      </c>
      <c r="B77" s="29" t="inlineStr">
        <is>
          <t>DABC</t>
        </is>
      </c>
      <c r="C77" s="47">
        <f t="array" ref="C77">IFS(D77="","", D77="A","NE", D77="B","SW", D77="C","SE", D77="D","NW",D77="Omit", "")</f>
        <v/>
      </c>
      <c r="D77" s="51" t="n"/>
      <c r="E77" s="30">
        <f>IF(D77="","",IF(D77="B","Correct","Incorrect"))</f>
        <v/>
      </c>
      <c r="F77" s="53" t="n"/>
      <c r="G77" s="48" t="n"/>
      <c r="H77" s="30">
        <f t="array" ref="H77">IF($G77="","",TEXTJOIN("",TRUE,MID($B77,MID($G77,SEQUENCE(LEN($G77),1),1)+0,1)))</f>
        <v/>
      </c>
      <c r="I77" s="30">
        <f>IF(OR(D77="",D77="Omit"),"",IF(D77="B","",IF(D77="A",IF(COUNTIF(D76:D$10,"B")=0,"Perseverative","Regressive"),IF(D77="C","Irrelevant",IF(D77="D","Novel","")))))</f>
        <v/>
      </c>
      <c r="J77" s="48" t="n"/>
    </row>
    <row r="78">
      <c r="A78" s="29" t="n">
        <v>69</v>
      </c>
      <c r="B78" s="29" t="inlineStr">
        <is>
          <t>ABCD</t>
        </is>
      </c>
      <c r="C78" s="47">
        <f t="array" ref="C78">IFS(D78="","", D78="A","NW", D78="B","NE", D78="C","SW", D78="D","SE",D78="Omit", "")</f>
        <v/>
      </c>
      <c r="D78" s="51" t="n"/>
      <c r="E78" s="30">
        <f>IF(D78="","",IF(D78="B","Correct","Incorrect"))</f>
        <v/>
      </c>
      <c r="F78" s="53" t="n"/>
      <c r="G78" s="48" t="n"/>
      <c r="H78" s="30">
        <f t="array" ref="H78">IF($G78="","",TEXTJOIN("",TRUE,MID($B78,MID($G78,SEQUENCE(LEN($G78),1),1)+0,1)))</f>
        <v/>
      </c>
      <c r="I78" s="30">
        <f>IF(OR(D78="",D78="Omit"),"",IF(D78="B","",IF(D78="A",IF(COUNTIF(D77:D$10,"B")=0,"Perseverative","Regressive"),IF(D78="C","Irrelevant",IF(D78="D","Novel","")))))</f>
        <v/>
      </c>
      <c r="J78" s="48" t="n"/>
    </row>
    <row r="79">
      <c r="A79" s="29" t="n">
        <v>70</v>
      </c>
      <c r="B79" s="29" t="inlineStr">
        <is>
          <t>BCDA</t>
        </is>
      </c>
      <c r="C79" s="47">
        <f t="array" ref="C79">IFS(D79="","", D79="A","SE", D79="B","NW", D79="C","NE", D79="D","SW",D79="Omit", "")</f>
        <v/>
      </c>
      <c r="D79" s="51" t="n"/>
      <c r="E79" s="30">
        <f>IF(D79="","",IF(D79="B","Correct","Incorrect"))</f>
        <v/>
      </c>
      <c r="F79" s="53" t="n"/>
      <c r="G79" s="48" t="n"/>
      <c r="H79" s="30">
        <f t="array" ref="H79">IF($G79="","",TEXTJOIN("",TRUE,MID($B79,MID($G79,SEQUENCE(LEN($G79),1),1)+0,1)))</f>
        <v/>
      </c>
      <c r="I79" s="30">
        <f>IF(OR(D79="",D79="Omit"),"",IF(D79="B","",IF(D79="A",IF(COUNTIF(D78:D$10,"B")=0,"Perseverative","Regressive"),IF(D79="C","Irrelevant",IF(D79="D","Novel","")))))</f>
        <v/>
      </c>
      <c r="J79" s="48" t="n"/>
    </row>
    <row r="80">
      <c r="A80" s="29" t="n">
        <v>71</v>
      </c>
      <c r="B80" s="29" t="inlineStr">
        <is>
          <t>CDAB</t>
        </is>
      </c>
      <c r="C80" s="47">
        <f t="array" ref="C80">IFS(D80="","", D80="A","SW", D80="B","SE", D80="C","NW", D80="D","NE",D80="Omit", "")</f>
        <v/>
      </c>
      <c r="D80" s="51" t="n"/>
      <c r="E80" s="30">
        <f>IF(D80="","",IF(D80="B","Correct","Incorrect"))</f>
        <v/>
      </c>
      <c r="F80" s="55" t="n"/>
      <c r="G80" s="55" t="n"/>
      <c r="H80" s="30">
        <f t="array" ref="H80">IF($G80="","",TEXTJOIN("",TRUE,MID($B80,MID($G80,SEQUENCE(LEN($G80),1),1)+0,1)))</f>
        <v/>
      </c>
      <c r="I80" s="30">
        <f>IF(OR(D80="",D80="Omit"),"",IF(D80="B","",IF(D80="A",IF(COUNTIF(D79:D$10,"B")=0,"Perseverative","Regressive"),IF(D80="C","Irrelevant",IF(D80="D","Novel","")))))</f>
        <v/>
      </c>
      <c r="J80" s="55" t="n"/>
    </row>
    <row r="81">
      <c r="A81" s="29" t="n">
        <v>72</v>
      </c>
      <c r="B81" s="29" t="inlineStr">
        <is>
          <t>DABC</t>
        </is>
      </c>
      <c r="C81" s="47">
        <f t="array" ref="C81">IFS(D81="","", D81="A","NE", D81="B","SW", D81="C","SE", D81="D","NW",D81="Omit", "")</f>
        <v/>
      </c>
      <c r="D81" s="51" t="n"/>
      <c r="E81" s="30">
        <f>IF(D81="","",IF(D81="B","Correct","Incorrect"))</f>
        <v/>
      </c>
      <c r="F81" s="55" t="n"/>
      <c r="G81" s="55" t="n"/>
      <c r="H81" s="30">
        <f t="array" ref="H81">IF($G81="","",TEXTJOIN("",TRUE,MID($B81,MID($G81,SEQUENCE(LEN($G81),1),1)+0,1)))</f>
        <v/>
      </c>
      <c r="I81" s="30">
        <f>IF(OR(D81="",D81="Omit"),"",IF(D81="B","",IF(D81="A",IF(COUNTIF(D80:D$10,"B")=0,"Perseverative","Regressive"),IF(D81="C","Irrelevant",IF(D81="D","Novel","")))))</f>
        <v/>
      </c>
      <c r="J81" s="55" t="n"/>
    </row>
    <row r="82">
      <c r="A82" s="29" t="n">
        <v>73</v>
      </c>
      <c r="B82" s="29" t="inlineStr">
        <is>
          <t>ABCD</t>
        </is>
      </c>
      <c r="C82" s="47">
        <f t="array" ref="C82">IFS(D82="","", D82="A","NW", D82="B","NE", D82="C","SW", D82="D","SE",D82="Omit", "")</f>
        <v/>
      </c>
      <c r="D82" s="51" t="n"/>
      <c r="E82" s="30">
        <f>IF(D82="","",IF(D82="B","Correct","Incorrect"))</f>
        <v/>
      </c>
      <c r="F82" s="55" t="n"/>
      <c r="G82" s="55" t="n"/>
      <c r="H82" s="30">
        <f t="array" ref="H82">IF($G82="","",TEXTJOIN("",TRUE,MID($B82,MID($G82,SEQUENCE(LEN($G82),1),1)+0,1)))</f>
        <v/>
      </c>
      <c r="I82" s="30">
        <f>IF(OR(D82="",D82="Omit"),"",IF(D82="B","",IF(D82="A",IF(COUNTIF(D81:D$10,"B")=0,"Perseverative","Regressive"),IF(D82="C","Irrelevant",IF(D82="D","Novel","")))))</f>
        <v/>
      </c>
      <c r="J82" s="55" t="n"/>
    </row>
    <row r="83">
      <c r="A83" s="29" t="n">
        <v>74</v>
      </c>
      <c r="B83" s="29" t="inlineStr">
        <is>
          <t>BCDA</t>
        </is>
      </c>
      <c r="C83" s="47">
        <f t="array" ref="C83">IFS(D83="","", D83="A","SE", D83="B","NW", D83="C","NE", D83="D","SW",D83="Omit", "")</f>
        <v/>
      </c>
      <c r="D83" s="51" t="n"/>
      <c r="E83" s="30">
        <f>IF(D83="","",IF(D83="B","Correct","Incorrect"))</f>
        <v/>
      </c>
      <c r="F83" s="55" t="n"/>
      <c r="G83" s="55" t="n"/>
      <c r="H83" s="30">
        <f t="array" ref="H83">IF($G83="","",TEXTJOIN("",TRUE,MID($B83,MID($G83,SEQUENCE(LEN($G83),1),1)+0,1)))</f>
        <v/>
      </c>
      <c r="I83" s="30">
        <f>IF(OR(D83="",D83="Omit"),"",IF(D83="B","",IF(D83="A",IF(COUNTIF(D82:D$10,"B")=0,"Perseverative","Regressive"),IF(D83="C","Irrelevant",IF(D83="D","Novel","")))))</f>
        <v/>
      </c>
      <c r="J83" s="55" t="n"/>
    </row>
    <row r="84">
      <c r="A84" s="29" t="n">
        <v>75</v>
      </c>
      <c r="B84" s="29" t="inlineStr">
        <is>
          <t>CDAB</t>
        </is>
      </c>
      <c r="C84" s="47">
        <f t="array" ref="C84">IFS(D84="","", D84="A","SW", D84="B","SE", D84="C","NW", D84="D","NE",D84="Omit", "")</f>
        <v/>
      </c>
      <c r="D84" s="51" t="n"/>
      <c r="E84" s="30">
        <f>IF(D84="","",IF(D84="B","Correct","Incorrect"))</f>
        <v/>
      </c>
      <c r="F84" s="55" t="n"/>
      <c r="G84" s="55" t="n"/>
      <c r="H84" s="30">
        <f t="array" ref="H84">IF($G84="","",TEXTJOIN("",TRUE,MID($B84,MID($G84,SEQUENCE(LEN($G84),1),1)+0,1)))</f>
        <v/>
      </c>
      <c r="I84" s="30">
        <f>IF(OR(D84="",D84="Omit"),"",IF(D84="B","",IF(D84="A",IF(COUNTIF(D83:D$10,"B")=0,"Perseverative","Regressive"),IF(D84="C","Irrelevant",IF(D84="D","Novel","")))))</f>
        <v/>
      </c>
      <c r="J84" s="55" t="n"/>
    </row>
    <row r="85">
      <c r="A85" s="29" t="n">
        <v>76</v>
      </c>
      <c r="B85" s="29" t="inlineStr">
        <is>
          <t>DABC</t>
        </is>
      </c>
      <c r="C85" s="47">
        <f t="array" ref="C85">IFS(D85="","", D85="A","NE", D85="B","SW", D85="C","SE", D85="D","NW",D85="Omit", "")</f>
        <v/>
      </c>
      <c r="D85" s="51" t="n"/>
      <c r="E85" s="30">
        <f>IF(D85="","",IF(D85="B","Correct","Incorrect"))</f>
        <v/>
      </c>
      <c r="F85" s="55" t="n"/>
      <c r="G85" s="55" t="n"/>
      <c r="H85" s="30">
        <f t="array" ref="H85">IF($G85="","",TEXTJOIN("",TRUE,MID($B85,MID($G85,SEQUENCE(LEN($G85),1),1)+0,1)))</f>
        <v/>
      </c>
      <c r="I85" s="30">
        <f>IF(OR(D85="",D85="Omit"),"",IF(D85="B","",IF(D85="A",IF(COUNTIF(D84:D$10,"B")=0,"Perseverative","Regressive"),IF(D85="C","Irrelevant",IF(D85="D","Novel","")))))</f>
        <v/>
      </c>
      <c r="J85" s="55" t="n"/>
    </row>
    <row r="86">
      <c r="A86" s="29" t="n">
        <v>77</v>
      </c>
      <c r="B86" s="29" t="inlineStr">
        <is>
          <t>ABCD</t>
        </is>
      </c>
      <c r="C86" s="47">
        <f t="array" ref="C86">IFS(D86="","", D86="A","NW", D86="B","NE", D86="C","SW", D86="D","SE",D86="Omit", "")</f>
        <v/>
      </c>
      <c r="D86" s="51" t="n"/>
      <c r="E86" s="30">
        <f>IF(D86="","",IF(D86="B","Correct","Incorrect"))</f>
        <v/>
      </c>
      <c r="F86" s="55" t="n"/>
      <c r="G86" s="55" t="n"/>
      <c r="H86" s="30">
        <f t="array" ref="H86">IF($G86="","",TEXTJOIN("",TRUE,MID($B86,MID($G86,SEQUENCE(LEN($G86),1),1)+0,1)))</f>
        <v/>
      </c>
      <c r="I86" s="30">
        <f>IF(OR(D86="",D86="Omit"),"",IF(D86="B","",IF(D86="A",IF(COUNTIF(D85:D$10,"B")=0,"Perseverative","Regressive"),IF(D86="C","Irrelevant",IF(D86="D","Novel","")))))</f>
        <v/>
      </c>
      <c r="J86" s="55" t="n"/>
    </row>
    <row r="87">
      <c r="A87" s="29" t="n">
        <v>78</v>
      </c>
      <c r="B87" s="29" t="inlineStr">
        <is>
          <t>BCDA</t>
        </is>
      </c>
      <c r="C87" s="47">
        <f t="array" ref="C87">IFS(D87="","", D87="A","SE", D87="B","NW", D87="C","NE", D87="D","SW",D87="Omit", "")</f>
        <v/>
      </c>
      <c r="D87" s="51" t="n"/>
      <c r="E87" s="30">
        <f>IF(D87="","",IF(D87="B","Correct","Incorrect"))</f>
        <v/>
      </c>
      <c r="F87" s="55" t="n"/>
      <c r="G87" s="55" t="n"/>
      <c r="H87" s="30">
        <f t="array" ref="H87">IF($G87="","",TEXTJOIN("",TRUE,MID($B87,MID($G87,SEQUENCE(LEN($G87),1),1)+0,1)))</f>
        <v/>
      </c>
      <c r="I87" s="30">
        <f>IF(OR(D87="",D87="Omit"),"",IF(D87="B","",IF(D87="A",IF(COUNTIF(D86:D$10,"B")=0,"Perseverative","Regressive"),IF(D87="C","Irrelevant",IF(D87="D","Novel","")))))</f>
        <v/>
      </c>
      <c r="J87" s="55" t="n"/>
    </row>
    <row r="88">
      <c r="A88" s="29" t="n">
        <v>79</v>
      </c>
      <c r="B88" s="29" t="inlineStr">
        <is>
          <t>CDAB</t>
        </is>
      </c>
      <c r="C88" s="47">
        <f t="array" ref="C88">IFS(D88="","", D88="A","SW", D88="B","SE", D88="C","NW", D88="D","NE",D88="Omit", "")</f>
        <v/>
      </c>
      <c r="D88" s="51" t="n"/>
      <c r="E88" s="30">
        <f>IF(D88="","",IF(D88="B","Correct","Incorrect"))</f>
        <v/>
      </c>
      <c r="F88" s="55" t="n"/>
      <c r="G88" s="55" t="n"/>
      <c r="H88" s="30">
        <f t="array" ref="H88">IF($G88="","",TEXTJOIN("",TRUE,MID($B88,MID($G88,SEQUENCE(LEN($G88),1),1)+0,1)))</f>
        <v/>
      </c>
      <c r="I88" s="30">
        <f>IF(OR(D88="",D88="Omit"),"",IF(D88="B","",IF(D88="A",IF(COUNTIF(D87:D$10,"B")=0,"Perseverative","Regressive"),IF(D88="C","Irrelevant",IF(D88="D","Novel","")))))</f>
        <v/>
      </c>
      <c r="J88" s="55" t="n"/>
    </row>
    <row r="89">
      <c r="A89" s="29" t="n">
        <v>80</v>
      </c>
      <c r="B89" s="29" t="inlineStr">
        <is>
          <t>DABC</t>
        </is>
      </c>
      <c r="C89" s="47">
        <f t="array" ref="C89">IFS(D89="","", D89="A","NE", D89="B","SW", D89="C","SE", D89="D","NW",D89="Omit", "")</f>
        <v/>
      </c>
      <c r="D89" s="51" t="n"/>
      <c r="E89" s="30">
        <f>IF(D89="","",IF(D89="B","Correct","Incorrect"))</f>
        <v/>
      </c>
      <c r="F89" s="55" t="n"/>
      <c r="G89" s="55" t="n"/>
      <c r="H89" s="30">
        <f t="array" ref="H89">IF($G89="","",TEXTJOIN("",TRUE,MID($B89,MID($G89,SEQUENCE(LEN($G89),1),1)+0,1)))</f>
        <v/>
      </c>
      <c r="I89" s="30">
        <f>IF(OR(D89="",D89="Omit"),"",IF(D89="B","",IF(D89="A",IF(COUNTIF(D88:D$10,"B")=0,"Perseverative","Regressive"),IF(D89="C","Irrelevant",IF(D89="D","Novel","")))))</f>
        <v/>
      </c>
      <c r="J89" s="55" t="n"/>
    </row>
    <row r="90">
      <c r="A90" s="29" t="n">
        <v>81</v>
      </c>
      <c r="B90" s="29" t="inlineStr">
        <is>
          <t>ABCD</t>
        </is>
      </c>
      <c r="C90" s="47">
        <f t="array" ref="C90">IFS(D90="","", D90="A","NW", D90="B","NE", D90="C","SW", D90="D","SE",D90="Omit", "")</f>
        <v/>
      </c>
      <c r="D90" s="51" t="n"/>
      <c r="E90" s="30">
        <f>IF(D90="","",IF(D90="B","Correct","Incorrect"))</f>
        <v/>
      </c>
      <c r="F90" s="55" t="n"/>
      <c r="G90" s="55" t="n"/>
      <c r="H90" s="30">
        <f t="array" ref="H90">IF($G90="","",TEXTJOIN("",TRUE,MID($B90,MID($G90,SEQUENCE(LEN($G90),1),1)+0,1)))</f>
        <v/>
      </c>
      <c r="I90" s="30">
        <f>IF(OR(D90="",D90="Omit"),"",IF(D90="B","",IF(D90="A",IF(COUNTIF(D89:D$10,"B")=0,"Perseverative","Regressive"),IF(D90="C","Irrelevant",IF(D90="D","Novel","")))))</f>
        <v/>
      </c>
      <c r="J90" s="55" t="n"/>
    </row>
    <row r="91">
      <c r="A91" s="29" t="n">
        <v>82</v>
      </c>
      <c r="B91" s="29" t="inlineStr">
        <is>
          <t>BCDA</t>
        </is>
      </c>
      <c r="C91" s="47">
        <f t="array" ref="C91">IFS(D91="","", D91="A","SE", D91="B","NW", D91="C","NE", D91="D","SW",D91="Omit", "")</f>
        <v/>
      </c>
      <c r="D91" s="51" t="n"/>
      <c r="E91" s="30">
        <f>IF(D91="","",IF(D91="B","Correct","Incorrect"))</f>
        <v/>
      </c>
      <c r="F91" s="55" t="n"/>
      <c r="G91" s="55" t="n"/>
      <c r="H91" s="30">
        <f t="array" ref="H91">IF($G91="","",TEXTJOIN("",TRUE,MID($B91,MID($G91,SEQUENCE(LEN($G91),1),1)+0,1)))</f>
        <v/>
      </c>
      <c r="I91" s="30">
        <f>IF(OR(D91="",D91="Omit"),"",IF(D91="B","",IF(D91="A",IF(COUNTIF(D90:D$10,"B")=0,"Perseverative","Regressive"),IF(D91="C","Irrelevant",IF(D91="D","Novel","")))))</f>
        <v/>
      </c>
      <c r="J91" s="55" t="n"/>
    </row>
    <row r="92">
      <c r="A92" s="29" t="n">
        <v>83</v>
      </c>
      <c r="B92" s="29" t="inlineStr">
        <is>
          <t>CDAB</t>
        </is>
      </c>
      <c r="C92" s="47">
        <f t="array" ref="C92">IFS(D92="","", D92="A","SW", D92="B","SE", D92="C","NW", D92="D","NE",D92="Omit", "")</f>
        <v/>
      </c>
      <c r="D92" s="51" t="n"/>
      <c r="E92" s="30">
        <f>IF(D92="","",IF(D92="B","Correct","Incorrect"))</f>
        <v/>
      </c>
      <c r="F92" s="55" t="n"/>
      <c r="G92" s="55" t="n"/>
      <c r="H92" s="30">
        <f t="array" ref="H92">IF($G92="","",TEXTJOIN("",TRUE,MID($B92,MID($G92,SEQUENCE(LEN($G92),1),1)+0,1)))</f>
        <v/>
      </c>
      <c r="I92" s="30">
        <f>IF(OR(D92="",D92="Omit"),"",IF(D92="B","",IF(D92="A",IF(COUNTIF(D91:D$10,"B")=0,"Perseverative","Regressive"),IF(D92="C","Irrelevant",IF(D92="D","Novel","")))))</f>
        <v/>
      </c>
      <c r="J92" s="55" t="n"/>
    </row>
    <row r="93">
      <c r="A93" s="29" t="n">
        <v>84</v>
      </c>
      <c r="B93" s="29" t="inlineStr">
        <is>
          <t>DABC</t>
        </is>
      </c>
      <c r="C93" s="47">
        <f t="array" ref="C93">IFS(D93="","", D93="A","NE", D93="B","SW", D93="C","SE", D93="D","NW",D93="Omit", "")</f>
        <v/>
      </c>
      <c r="D93" s="51" t="n"/>
      <c r="E93" s="30">
        <f>IF(D93="","",IF(D93="B","Correct","Incorrect"))</f>
        <v/>
      </c>
      <c r="F93" s="55" t="n"/>
      <c r="G93" s="55" t="n"/>
      <c r="H93" s="30">
        <f t="array" ref="H93">IF($G93="","",TEXTJOIN("",TRUE,MID($B93,MID($G93,SEQUENCE(LEN($G93),1),1)+0,1)))</f>
        <v/>
      </c>
      <c r="I93" s="30">
        <f>IF(OR(D93="",D93="Omit"),"",IF(D93="B","",IF(D93="A",IF(COUNTIF(D92:D$10,"B")=0,"Perseverative","Regressive"),IF(D93="C","Irrelevant",IF(D93="D","Novel","")))))</f>
        <v/>
      </c>
      <c r="J93" s="55" t="n"/>
    </row>
    <row r="94">
      <c r="A94" s="29" t="n">
        <v>85</v>
      </c>
      <c r="B94" s="29" t="inlineStr">
        <is>
          <t>ABCD</t>
        </is>
      </c>
      <c r="C94" s="47">
        <f t="array" ref="C94">IFS(D94="","", D94="A","NW", D94="B","NE", D94="C","SW", D94="D","SE",D94="Omit", "")</f>
        <v/>
      </c>
      <c r="D94" s="51" t="n"/>
      <c r="E94" s="30">
        <f>IF(D94="","",IF(D94="B","Correct","Incorrect"))</f>
        <v/>
      </c>
      <c r="F94" s="55" t="n"/>
      <c r="G94" s="55" t="n"/>
      <c r="H94" s="30">
        <f t="array" ref="H94">IF($G94="","",TEXTJOIN("",TRUE,MID($B94,MID($G94,SEQUENCE(LEN($G94),1),1)+0,1)))</f>
        <v/>
      </c>
      <c r="I94" s="30">
        <f>IF(OR(D94="",D94="Omit"),"",IF(D94="B","",IF(D94="A",IF(COUNTIF(D93:D$10,"B")=0,"Perseverative","Regressive"),IF(D94="C","Irrelevant",IF(D94="D","Novel","")))))</f>
        <v/>
      </c>
      <c r="J94" s="55" t="n"/>
    </row>
    <row r="95">
      <c r="A95" s="29" t="n">
        <v>86</v>
      </c>
      <c r="B95" s="29" t="inlineStr">
        <is>
          <t>BCDA</t>
        </is>
      </c>
      <c r="C95" s="47">
        <f t="array" ref="C95">IFS(D95="","", D95="A","SE", D95="B","NW", D95="C","NE", D95="D","SW",D95="Omit", "")</f>
        <v/>
      </c>
      <c r="D95" s="51" t="n"/>
      <c r="E95" s="30">
        <f>IF(D95="","",IF(D95="B","Correct","Incorrect"))</f>
        <v/>
      </c>
      <c r="F95" s="55" t="n"/>
      <c r="G95" s="55" t="n"/>
      <c r="H95" s="30">
        <f t="array" ref="H95">IF($G95="","",TEXTJOIN("",TRUE,MID($B95,MID($G95,SEQUENCE(LEN($G95),1),1)+0,1)))</f>
        <v/>
      </c>
      <c r="I95" s="30">
        <f>IF(OR(D95="",D95="Omit"),"",IF(D95="B","",IF(D95="A",IF(COUNTIF(D94:D$10,"B")=0,"Perseverative","Regressive"),IF(D95="C","Irrelevant",IF(D95="D","Novel","")))))</f>
        <v/>
      </c>
      <c r="J95" s="55" t="n"/>
    </row>
    <row r="96">
      <c r="A96" s="29" t="n">
        <v>87</v>
      </c>
      <c r="B96" s="29" t="inlineStr">
        <is>
          <t>CDAB</t>
        </is>
      </c>
      <c r="C96" s="47">
        <f t="array" ref="C96">IFS(D96="","", D96="A","SW", D96="B","SE", D96="C","NW", D96="D","NE",D96="Omit", "")</f>
        <v/>
      </c>
      <c r="D96" s="51" t="n"/>
      <c r="E96" s="30">
        <f>IF(D96="","",IF(D96="B","Correct","Incorrect"))</f>
        <v/>
      </c>
      <c r="F96" s="55" t="n"/>
      <c r="G96" s="55" t="n"/>
      <c r="H96" s="30">
        <f t="array" ref="H96">IF($G96="","",TEXTJOIN("",TRUE,MID($B96,MID($G96,SEQUENCE(LEN($G96),1),1)+0,1)))</f>
        <v/>
      </c>
      <c r="I96" s="30">
        <f>IF(OR(D96="",D96="Omit"),"",IF(D96="B","",IF(D96="A",IF(COUNTIF(D95:D$10,"B")=0,"Perseverative","Regressive"),IF(D96="C","Irrelevant",IF(D96="D","Novel","")))))</f>
        <v/>
      </c>
      <c r="J96" s="55" t="n"/>
    </row>
    <row r="97">
      <c r="A97" s="29" t="n">
        <v>88</v>
      </c>
      <c r="B97" s="29" t="inlineStr">
        <is>
          <t>DABC</t>
        </is>
      </c>
      <c r="C97" s="47">
        <f t="array" ref="C97">IFS(D97="","", D97="A","NE", D97="B","SW", D97="C","SE", D97="D","NW",D97="Omit", "")</f>
        <v/>
      </c>
      <c r="D97" s="51" t="n"/>
      <c r="E97" s="30">
        <f>IF(D97="","",IF(D97="B","Correct","Incorrect"))</f>
        <v/>
      </c>
      <c r="F97" s="55" t="n"/>
      <c r="G97" s="55" t="n"/>
      <c r="H97" s="30">
        <f t="array" ref="H97">IF($G97="","",TEXTJOIN("",TRUE,MID($B97,MID($G97,SEQUENCE(LEN($G97),1),1)+0,1)))</f>
        <v/>
      </c>
      <c r="I97" s="30">
        <f>IF(OR(D97="",D97="Omit"),"",IF(D97="B","",IF(D97="A",IF(COUNTIF(D96:D$10,"B")=0,"Perseverative","Regressive"),IF(D97="C","Irrelevant",IF(D97="D","Novel","")))))</f>
        <v/>
      </c>
      <c r="J97" s="55" t="n"/>
    </row>
    <row r="98">
      <c r="A98" s="29" t="n">
        <v>89</v>
      </c>
      <c r="B98" s="29" t="inlineStr">
        <is>
          <t>ABCD</t>
        </is>
      </c>
      <c r="C98" s="47">
        <f t="array" ref="C98">IFS(D98="","", D98="A","NW", D98="B","NE", D98="C","SW", D98="D","SE",D98="Omit", "")</f>
        <v/>
      </c>
      <c r="D98" s="51" t="n"/>
      <c r="E98" s="30">
        <f>IF(D98="","",IF(D98="B","Correct","Incorrect"))</f>
        <v/>
      </c>
      <c r="F98" s="55" t="n"/>
      <c r="G98" s="55" t="n"/>
      <c r="H98" s="30">
        <f t="array" ref="H98">IF($G98="","",TEXTJOIN("",TRUE,MID($B98,MID($G98,SEQUENCE(LEN($G98),1),1)+0,1)))</f>
        <v/>
      </c>
      <c r="I98" s="30">
        <f>IF(OR(D98="",D98="Omit"),"",IF(D98="B","",IF(D98="A",IF(COUNTIF(D97:D$10,"B")=0,"Perseverative","Regressive"),IF(D98="C","Irrelevant",IF(D98="D","Novel","")))))</f>
        <v/>
      </c>
      <c r="J98" s="55" t="n"/>
    </row>
    <row r="99">
      <c r="A99" s="29" t="n">
        <v>90</v>
      </c>
      <c r="B99" s="29" t="inlineStr">
        <is>
          <t>BCDA</t>
        </is>
      </c>
      <c r="C99" s="47">
        <f t="array" ref="C99">IFS(D99="","", D99="A","SE", D99="B","NW", D99="C","NE", D99="D","SW",D99="Omit", "")</f>
        <v/>
      </c>
      <c r="D99" s="51" t="n"/>
      <c r="E99" s="30">
        <f>IF(D99="","",IF(D99="B","Correct","Incorrect"))</f>
        <v/>
      </c>
      <c r="F99" s="55" t="n"/>
      <c r="G99" s="55" t="n"/>
      <c r="H99" s="30">
        <f t="array" ref="H99">IF($G99="","",TEXTJOIN("",TRUE,MID($B99,MID($G99,SEQUENCE(LEN($G99),1),1)+0,1)))</f>
        <v/>
      </c>
      <c r="I99" s="30">
        <f>IF(OR(D99="",D99="Omit"),"",IF(D99="B","",IF(D99="A",IF(COUNTIF(D98:D$10,"B")=0,"Perseverative","Regressive"),IF(D99="C","Irrelevant",IF(D99="D","Novel","")))))</f>
        <v/>
      </c>
      <c r="J99" s="55" t="n"/>
    </row>
    <row r="100">
      <c r="A100" s="29" t="n">
        <v>91</v>
      </c>
      <c r="B100" s="29" t="inlineStr">
        <is>
          <t>CDAB</t>
        </is>
      </c>
      <c r="C100" s="47">
        <f t="array" ref="C100">IFS(D100="","", D100="A","NW", D100="B","NE", D100="C","SW", D100="D","SE",D100="Omit", "")</f>
        <v/>
      </c>
      <c r="D100" s="51" t="n"/>
      <c r="E100" s="30">
        <f>IF(D100="","",IF(D100="B","Correct","Incorrect"))</f>
        <v/>
      </c>
      <c r="F100" s="55" t="n"/>
      <c r="G100" s="55" t="n"/>
      <c r="H100" s="30">
        <f t="array" ref="H100">IF($G100="","",TEXTJOIN("",TRUE,MID($B100,MID($G100,SEQUENCE(LEN($G100),1),1)+0,1)))</f>
        <v/>
      </c>
      <c r="I100" s="30">
        <f>IF(OR(D100="",D100="Omit"),"",IF(D100="B","",IF(D100="A",IF(COUNTIF(D99:D$10,"B")=0,"Perseverative","Regressive"),IF(D100="C","Irrelevant",IF(D100="D","Novel","")))))</f>
        <v/>
      </c>
      <c r="J100" s="55" t="n"/>
    </row>
    <row r="101">
      <c r="A101" s="29" t="n">
        <v>92</v>
      </c>
      <c r="B101" s="29" t="inlineStr">
        <is>
          <t>DABC</t>
        </is>
      </c>
      <c r="C101" s="47">
        <f t="array" ref="C101">IFS(D101="","", D101="A","SE", D101="B","NW", D101="C","NE", D101="D","SW",D101="Omit", "")</f>
        <v/>
      </c>
      <c r="D101" s="51" t="n"/>
      <c r="E101" s="30">
        <f>IF(D101="","",IF(D101="B","Correct","Incorrect"))</f>
        <v/>
      </c>
      <c r="F101" s="55" t="n"/>
      <c r="G101" s="55" t="n"/>
      <c r="H101" s="30">
        <f t="array" ref="H101">IF($G101="","",TEXTJOIN("",TRUE,MID($B101,MID($G101,SEQUENCE(LEN($G101),1),1)+0,1)))</f>
        <v/>
      </c>
      <c r="I101" s="30">
        <f>IF(OR(D101="",D101="Omit"),"",IF(D101="B","",IF(D101="A",IF(COUNTIF(D100:D$10,"B")=0,"Perseverative","Regressive"),IF(D101="C","Irrelevant",IF(D101="D","Novel","")))))</f>
        <v/>
      </c>
      <c r="J101" s="55" t="n"/>
    </row>
    <row r="102">
      <c r="A102" s="29" t="n">
        <v>93</v>
      </c>
      <c r="B102" s="29" t="inlineStr">
        <is>
          <t>ABCD</t>
        </is>
      </c>
      <c r="C102" s="47">
        <f t="array" ref="C102">IFS(D102="","", D102="A","SW", D102="B","SE", D102="C","NW", D102="D","NE",D102="Omit", "")</f>
        <v/>
      </c>
      <c r="D102" s="51" t="n"/>
      <c r="E102" s="30">
        <f>IF(D102="","",IF(D102="B","Correct","Incorrect"))</f>
        <v/>
      </c>
      <c r="F102" s="55" t="n"/>
      <c r="G102" s="55" t="n"/>
      <c r="H102" s="30">
        <f t="array" ref="H102">IF($G102="","",TEXTJOIN("",TRUE,MID($B102,MID($G102,SEQUENCE(LEN($G102),1),1)+0,1)))</f>
        <v/>
      </c>
      <c r="I102" s="30">
        <f>IF(OR(D102="",D102="Omit"),"",IF(D102="B","",IF(D102="A",IF(COUNTIF(D101:D$10,"B")=0,"Perseverative","Regressive"),IF(D102="C","Irrelevant",IF(D102="D","Novel","")))))</f>
        <v/>
      </c>
      <c r="J102" s="55" t="n"/>
    </row>
    <row r="103">
      <c r="A103" s="29" t="n">
        <v>94</v>
      </c>
      <c r="B103" s="29" t="inlineStr">
        <is>
          <t>BCDA</t>
        </is>
      </c>
      <c r="C103" s="47">
        <f t="array" ref="C103">IFS(D103="","", D103="A","NE", D103="B","SW", D103="C","SE", D103="D","NW",D103="Omit", "")</f>
        <v/>
      </c>
      <c r="D103" s="51" t="n"/>
      <c r="E103" s="30">
        <f>IF(D103="","",IF(D103="B","Correct","Incorrect"))</f>
        <v/>
      </c>
      <c r="F103" s="55" t="n"/>
      <c r="G103" s="55" t="n"/>
      <c r="H103" s="30">
        <f t="array" ref="H103">IF($G103="","",TEXTJOIN("",TRUE,MID($B103,MID($G103,SEQUENCE(LEN($G103),1),1)+0,1)))</f>
        <v/>
      </c>
      <c r="I103" s="30">
        <f>IF(OR(D103="",D103="Omit"),"",IF(D103="B","",IF(D103="A",IF(COUNTIF(D102:D$10,"B")=0,"Perseverative","Regressive"),IF(D103="C","Irrelevant",IF(D103="D","Novel","")))))</f>
        <v/>
      </c>
      <c r="J103" s="55" t="n"/>
    </row>
    <row r="104">
      <c r="A104" s="29" t="n">
        <v>95</v>
      </c>
      <c r="B104" s="29" t="inlineStr">
        <is>
          <t>CDAB</t>
        </is>
      </c>
      <c r="C104" s="47">
        <f t="array" ref="C104">IFS(D104="","", D104="A","NW", D104="B","NE", D104="C","SW", D104="D","SE",D104="Omit", "")</f>
        <v/>
      </c>
      <c r="D104" s="51" t="n"/>
      <c r="E104" s="30">
        <f>IF(D104="","",IF(D104="B","Correct","Incorrect"))</f>
        <v/>
      </c>
      <c r="F104" s="55" t="n"/>
      <c r="G104" s="55" t="n"/>
      <c r="H104" s="30">
        <f t="array" ref="H104">IF($G104="","",TEXTJOIN("",TRUE,MID($B104,MID($G104,SEQUENCE(LEN($G104),1),1)+0,1)))</f>
        <v/>
      </c>
      <c r="I104" s="30">
        <f>IF(OR(D104="",D104="Omit"),"",IF(D104="B","",IF(D104="A",IF(COUNTIF(D103:D$10,"B")=0,"Perseverative","Regressive"),IF(D104="C","Irrelevant",IF(D104="D","Novel","")))))</f>
        <v/>
      </c>
      <c r="J104" s="55" t="n"/>
    </row>
    <row r="105">
      <c r="A105" s="29" t="n">
        <v>96</v>
      </c>
      <c r="B105" s="29" t="inlineStr">
        <is>
          <t>DABC</t>
        </is>
      </c>
      <c r="C105" s="47">
        <f t="array" ref="C105">IFS(D105="","", D105="A","SE", D105="B","NW", D105="C","NE", D105="D","SW",D105="Omit", "")</f>
        <v/>
      </c>
      <c r="D105" s="51" t="n"/>
      <c r="E105" s="30">
        <f>IF(D105="","",IF(D105="B","Correct","Incorrect"))</f>
        <v/>
      </c>
      <c r="F105" s="55" t="n"/>
      <c r="G105" s="55" t="n"/>
      <c r="H105" s="30">
        <f t="array" ref="H105">IF($G105="","",TEXTJOIN("",TRUE,MID($B105,MID($G105,SEQUENCE(LEN($G105),1),1)+0,1)))</f>
        <v/>
      </c>
      <c r="I105" s="30">
        <f>IF(OR(D105="",D105="Omit"),"",IF(D105="B","",IF(D105="A",IF(COUNTIF(D104:D$10,"B")=0,"Perseverative","Regressive"),IF(D105="C","Irrelevant",IF(D105="D","Novel","")))))</f>
        <v/>
      </c>
      <c r="J105" s="55" t="n"/>
    </row>
    <row r="106">
      <c r="A106" s="29" t="n">
        <v>97</v>
      </c>
      <c r="B106" s="29" t="inlineStr">
        <is>
          <t>ABCD</t>
        </is>
      </c>
      <c r="C106" s="47">
        <f t="array" ref="C106">IFS(D106="","", D106="A","SW", D106="B","SE", D106="C","NW", D106="D","NE",D106="Omit", "")</f>
        <v/>
      </c>
      <c r="D106" s="51" t="n"/>
      <c r="E106" s="30">
        <f>IF(D106="","",IF(D106="B","Correct","Incorrect"))</f>
        <v/>
      </c>
      <c r="F106" s="55" t="n"/>
      <c r="G106" s="55" t="n"/>
      <c r="H106" s="30">
        <f t="array" ref="H106">IF($G106="","",TEXTJOIN("",TRUE,MID($B106,MID($G106,SEQUENCE(LEN($G106),1),1)+0,1)))</f>
        <v/>
      </c>
      <c r="I106" s="30">
        <f>IF(OR(D106="",D106="Omit"),"",IF(D106="B","",IF(D106="A",IF(COUNTIF(D105:D$10,"B")=0,"Perseverative","Regressive"),IF(D106="C","Irrelevant",IF(D106="D","Novel","")))))</f>
        <v/>
      </c>
      <c r="J106" s="55" t="n"/>
    </row>
    <row r="107">
      <c r="A107" s="29" t="n">
        <v>98</v>
      </c>
      <c r="B107" s="29" t="inlineStr">
        <is>
          <t>BCDA</t>
        </is>
      </c>
      <c r="C107" s="47">
        <f t="array" ref="C107">IFS(D107="","", D107="A","NE", D107="B","SW", D107="C","SE", D107="D","NW",D107="Omit", "")</f>
        <v/>
      </c>
      <c r="D107" s="51" t="n"/>
      <c r="E107" s="30">
        <f>IF(D107="","",IF(D107="B","Correct","Incorrect"))</f>
        <v/>
      </c>
      <c r="F107" s="55" t="n"/>
      <c r="G107" s="55" t="n"/>
      <c r="H107" s="30">
        <f t="array" ref="H107">IF($G107="","",TEXTJOIN("",TRUE,MID($B107,MID($G107,SEQUENCE(LEN($G107),1),1)+0,1)))</f>
        <v/>
      </c>
      <c r="I107" s="30">
        <f>IF(OR(D107="",D107="Omit"),"",IF(D107="B","",IF(D107="A",IF(COUNTIF(D106:D$10,"B")=0,"Perseverative","Regressive"),IF(D107="C","Irrelevant",IF(D107="D","Novel","")))))</f>
        <v/>
      </c>
      <c r="J107" s="55" t="n"/>
    </row>
    <row r="108">
      <c r="A108" s="29" t="n">
        <v>99</v>
      </c>
      <c r="B108" s="29" t="inlineStr">
        <is>
          <t>CDAB</t>
        </is>
      </c>
      <c r="C108" s="47">
        <f t="array" ref="C108">IFS(D108="","", D108="A","NW", D108="B","NE", D108="C","SW", D108="D","SE",D108="Omit", "")</f>
        <v/>
      </c>
      <c r="D108" s="51" t="n"/>
      <c r="E108" s="30">
        <f>IF(D108="","",IF(D108="B","Correct","Incorrect"))</f>
        <v/>
      </c>
      <c r="F108" s="55" t="n"/>
      <c r="G108" s="55" t="n"/>
      <c r="H108" s="30">
        <f t="array" ref="H108">IF($G108="","",TEXTJOIN("",TRUE,MID($B108,MID($G108,SEQUENCE(LEN($G108),1),1)+0,1)))</f>
        <v/>
      </c>
      <c r="I108" s="30">
        <f>IF(OR(D108="",D108="Omit"),"",IF(D108="B","",IF(D108="A",IF(COUNTIF(D107:D$10,"B")=0,"Perseverative","Regressive"),IF(D108="C","Irrelevant",IF(D108="D","Novel","")))))</f>
        <v/>
      </c>
      <c r="J108" s="55" t="n"/>
    </row>
    <row r="109">
      <c r="A109" s="29" t="n">
        <v>100</v>
      </c>
      <c r="B109" s="29" t="inlineStr">
        <is>
          <t>DABC</t>
        </is>
      </c>
      <c r="C109" s="47">
        <f t="array" ref="C109">IFS(D109="","", D109="A","SE", D109="B","NW", D109="C","NE", D109="D","SW",D109="Omit", "")</f>
        <v/>
      </c>
      <c r="D109" s="51" t="n"/>
      <c r="E109" s="30">
        <f>IF(D109="","",IF(D109="B","Correct","Incorrect"))</f>
        <v/>
      </c>
      <c r="F109" s="55" t="n"/>
      <c r="G109" s="55" t="n"/>
      <c r="H109" s="30">
        <f t="array" ref="H109">IF($G109="","",TEXTJOIN("",TRUE,MID($B109,MID($G109,SEQUENCE(LEN($G109),1),1)+0,1)))</f>
        <v/>
      </c>
      <c r="I109" s="30">
        <f>IF(OR(D109="",D109="Omit"),"",IF(D109="B","",IF(D109="A",IF(COUNTIF(D108:D$10,"B")=0,"Perseverative","Regressive"),IF(D109="C","Irrelevant",IF(D109="D","Novel","")))))</f>
        <v/>
      </c>
      <c r="J109" s="55" t="n"/>
    </row>
    <row r="110">
      <c r="A110" s="29" t="n">
        <v>101</v>
      </c>
      <c r="B110" s="29" t="inlineStr">
        <is>
          <t>ABCD</t>
        </is>
      </c>
      <c r="C110" s="47">
        <f t="array" ref="C110">IFS(D110="","", D110="A","SW", D110="B","SE", D110="C","NW", D110="D","NE",D110="Omit", "")</f>
        <v/>
      </c>
      <c r="D110" s="51" t="n"/>
      <c r="E110" s="30">
        <f>IF(D110="","",IF(D110="B","Correct","Incorrect"))</f>
        <v/>
      </c>
      <c r="F110" s="55" t="n"/>
      <c r="G110" s="55" t="n"/>
      <c r="H110" s="30">
        <f t="array" ref="H110">IF($G110="","",TEXTJOIN("",TRUE,MID($B110,MID($G110,SEQUENCE(LEN($G110),1),1)+0,1)))</f>
        <v/>
      </c>
      <c r="I110" s="30">
        <f>IF(OR(D110="",D110="Omit"),"",IF(D110="B","",IF(D110="A",IF(COUNTIF(D109:D$10,"B")=0,"Perseverative","Regressive"),IF(D110="C","Irrelevant",IF(D110="D","Novel","")))))</f>
        <v/>
      </c>
      <c r="J110" s="55" t="n"/>
    </row>
    <row r="111">
      <c r="A111" s="29" t="n">
        <v>102</v>
      </c>
      <c r="B111" s="29" t="inlineStr">
        <is>
          <t>BCDA</t>
        </is>
      </c>
      <c r="C111" s="47">
        <f t="array" ref="C111">IFS(D111="","", D111="A","NE", D111="B","SW", D111="C","SE", D111="D","NW",D111="Omit", "")</f>
        <v/>
      </c>
      <c r="D111" s="51" t="n"/>
      <c r="E111" s="30">
        <f>IF(D111="","",IF(D111="B","Correct","Incorrect"))</f>
        <v/>
      </c>
      <c r="F111" s="55" t="n"/>
      <c r="G111" s="55" t="n"/>
      <c r="H111" s="30">
        <f t="array" ref="H111">IF($G111="","",TEXTJOIN("",TRUE,MID($B111,MID($G111,SEQUENCE(LEN($G111),1),1)+0,1)))</f>
        <v/>
      </c>
      <c r="I111" s="30">
        <f>IF(OR(D111="",D111="Omit"),"",IF(D111="B","",IF(D111="A",IF(COUNTIF(D110:D$10,"B")=0,"Perseverative","Regressive"),IF(D111="C","Irrelevant",IF(D111="D","Novel","")))))</f>
        <v/>
      </c>
      <c r="J111" s="55" t="n"/>
    </row>
    <row r="112">
      <c r="A112" s="29" t="n">
        <v>103</v>
      </c>
      <c r="B112" s="29" t="inlineStr">
        <is>
          <t>CDAB</t>
        </is>
      </c>
      <c r="C112" s="47">
        <f t="array" ref="C112">IFS(D112="","", D112="A","NW", D112="B","NE", D112="C","SW", D112="D","SE",D112="Omit", "")</f>
        <v/>
      </c>
      <c r="D112" s="51" t="n"/>
      <c r="E112" s="30">
        <f>IF(D112="","",IF(D112="B","Correct","Incorrect"))</f>
        <v/>
      </c>
      <c r="F112" s="55" t="n"/>
      <c r="G112" s="55" t="n"/>
      <c r="H112" s="30">
        <f t="array" ref="H112">IF($G112="","",TEXTJOIN("",TRUE,MID($B112,MID($G112,SEQUENCE(LEN($G112),1),1)+0,1)))</f>
        <v/>
      </c>
      <c r="I112" s="30">
        <f>IF(OR(D112="",D112="Omit"),"",IF(D112="B","",IF(D112="A",IF(COUNTIF(D111:D$10,"B")=0,"Perseverative","Regressive"),IF(D112="C","Irrelevant",IF(D112="D","Novel","")))))</f>
        <v/>
      </c>
      <c r="J112" s="55" t="n"/>
    </row>
    <row r="113">
      <c r="A113" s="29" t="n">
        <v>104</v>
      </c>
      <c r="B113" s="29" t="inlineStr">
        <is>
          <t>DABC</t>
        </is>
      </c>
      <c r="C113" s="47">
        <f t="array" ref="C113">IFS(D113="","", D113="A","SE", D113="B","NW", D113="C","NE", D113="D","SW",D113="Omit", "")</f>
        <v/>
      </c>
      <c r="D113" s="51" t="n"/>
      <c r="E113" s="30">
        <f>IF(D113="","",IF(D113="B","Correct","Incorrect"))</f>
        <v/>
      </c>
      <c r="F113" s="55" t="n"/>
      <c r="G113" s="55" t="n"/>
      <c r="H113" s="30">
        <f t="array" ref="H113">IF($G113="","",TEXTJOIN("",TRUE,MID($B113,MID($G113,SEQUENCE(LEN($G113),1),1)+0,1)))</f>
        <v/>
      </c>
      <c r="I113" s="30">
        <f>IF(OR(D113="",D113="Omit"),"",IF(D113="B","",IF(D113="A",IF(COUNTIF(D112:D$10,"B")=0,"Perseverative","Regressive"),IF(D113="C","Irrelevant",IF(D113="D","Novel","")))))</f>
        <v/>
      </c>
      <c r="J113" s="55" t="n"/>
    </row>
    <row r="114">
      <c r="A114" s="29" t="n">
        <v>105</v>
      </c>
      <c r="B114" s="29" t="inlineStr">
        <is>
          <t>ABCD</t>
        </is>
      </c>
      <c r="C114" s="47">
        <f t="array" ref="C114">IFS(D114="","", D114="A","SW", D114="B","SE", D114="C","NW", D114="D","NE",D114="Omit", "")</f>
        <v/>
      </c>
      <c r="D114" s="51" t="n"/>
      <c r="E114" s="30">
        <f>IF(D114="","",IF(D114="B","Correct","Incorrect"))</f>
        <v/>
      </c>
      <c r="F114" s="55" t="n"/>
      <c r="G114" s="55" t="n"/>
      <c r="H114" s="30">
        <f t="array" ref="H114">IF($G114="","",TEXTJOIN("",TRUE,MID($B114,MID($G114,SEQUENCE(LEN($G114),1),1)+0,1)))</f>
        <v/>
      </c>
      <c r="I114" s="30">
        <f>IF(OR(D114="",D114="Omit"),"",IF(D114="B","",IF(D114="A",IF(COUNTIF(D113:D$10,"B")=0,"Perseverative","Regressive"),IF(D114="C","Irrelevant",IF(D114="D","Novel","")))))</f>
        <v/>
      </c>
      <c r="J114" s="55" t="n"/>
    </row>
    <row r="115">
      <c r="A115" s="29" t="n">
        <v>106</v>
      </c>
      <c r="B115" s="29" t="inlineStr">
        <is>
          <t>BCDA</t>
        </is>
      </c>
      <c r="C115" s="47">
        <f t="array" ref="C115">IFS(D115="","", D115="A","NE", D115="B","SW", D115="C","SE", D115="D","NW",D115="Omit", "")</f>
        <v/>
      </c>
      <c r="D115" s="51" t="n"/>
      <c r="E115" s="30">
        <f>IF(D115="","",IF(D115="B","Correct","Incorrect"))</f>
        <v/>
      </c>
      <c r="F115" s="55" t="n"/>
      <c r="G115" s="55" t="n"/>
      <c r="H115" s="30">
        <f t="array" ref="H115">IF($G115="","",TEXTJOIN("",TRUE,MID($B115,MID($G115,SEQUENCE(LEN($G115),1),1)+0,1)))</f>
        <v/>
      </c>
      <c r="I115" s="30">
        <f>IF(OR(D115="",D115="Omit"),"",IF(D115="B","",IF(D115="A",IF(COUNTIF(D114:D$10,"B")=0,"Perseverative","Regressive"),IF(D115="C","Irrelevant",IF(D115="D","Novel","")))))</f>
        <v/>
      </c>
      <c r="J115" s="55" t="n"/>
    </row>
    <row r="116">
      <c r="A116" s="29" t="n">
        <v>107</v>
      </c>
      <c r="B116" s="29" t="inlineStr">
        <is>
          <t>CDAB</t>
        </is>
      </c>
      <c r="C116" s="47">
        <f t="array" ref="C116">IFS(D116="","", D116="A","NW", D116="B","NE", D116="C","SW", D116="D","SE",D116="Omit", "")</f>
        <v/>
      </c>
      <c r="D116" s="51" t="n"/>
      <c r="E116" s="30">
        <f>IF(D116="","",IF(D116="B","Correct","Incorrect"))</f>
        <v/>
      </c>
      <c r="F116" s="55" t="n"/>
      <c r="G116" s="55" t="n"/>
      <c r="H116" s="30">
        <f t="array" ref="H116">IF($G116="","",TEXTJOIN("",TRUE,MID($B116,MID($G116,SEQUENCE(LEN($G116),1),1)+0,1)))</f>
        <v/>
      </c>
      <c r="I116" s="30">
        <f>IF(OR(D116="",D116="Omit"),"",IF(D116="B","",IF(D116="A",IF(COUNTIF(D115:D$10,"B")=0,"Perseverative","Regressive"),IF(D116="C","Irrelevant",IF(D116="D","Novel","")))))</f>
        <v/>
      </c>
      <c r="J116" s="55" t="n"/>
    </row>
    <row r="117">
      <c r="A117" s="29" t="n">
        <v>108</v>
      </c>
      <c r="B117" s="29" t="inlineStr">
        <is>
          <t>DABC</t>
        </is>
      </c>
      <c r="C117" s="47">
        <f t="array" ref="C117">IFS(D117="","", D117="A","SE", D117="B","NW", D117="C","NE", D117="D","SW",D117="Omit", "")</f>
        <v/>
      </c>
      <c r="D117" s="51" t="n"/>
      <c r="E117" s="30">
        <f>IF(D117="","",IF(D117="B","Correct","Incorrect"))</f>
        <v/>
      </c>
      <c r="F117" s="55" t="n"/>
      <c r="G117" s="55" t="n"/>
      <c r="H117" s="30">
        <f t="array" ref="H117">IF($G117="","",TEXTJOIN("",TRUE,MID($B117,MID($G117,SEQUENCE(LEN($G117),1),1)+0,1)))</f>
        <v/>
      </c>
      <c r="I117" s="30">
        <f>IF(OR(D117="",D117="Omit"),"",IF(D117="B","",IF(D117="A",IF(COUNTIF(D116:D$10,"B")=0,"Perseverative","Regressive"),IF(D117="C","Irrelevant",IF(D117="D","Novel","")))))</f>
        <v/>
      </c>
      <c r="J117" s="55" t="n"/>
    </row>
    <row r="118">
      <c r="A118" s="29" t="n">
        <v>109</v>
      </c>
      <c r="B118" s="29" t="inlineStr">
        <is>
          <t>ABCD</t>
        </is>
      </c>
      <c r="C118" s="47">
        <f t="array" ref="C118">IFS(D118="","", D118="A","SW", D118="B","SE", D118="C","NW", D118="D","NE",D118="Omit", "")</f>
        <v/>
      </c>
      <c r="D118" s="51" t="n"/>
      <c r="E118" s="30">
        <f>IF(D118="","",IF(D118="B","Correct","Incorrect"))</f>
        <v/>
      </c>
      <c r="F118" s="55" t="n"/>
      <c r="G118" s="55" t="n"/>
      <c r="H118" s="30">
        <f t="array" ref="H118">IF($G118="","",TEXTJOIN("",TRUE,MID($B118,MID($G118,SEQUENCE(LEN($G118),1),1)+0,1)))</f>
        <v/>
      </c>
      <c r="I118" s="30">
        <f>IF(OR(D118="",D118="Omit"),"",IF(D118="B","",IF(D118="A",IF(COUNTIF(D117:D$10,"B")=0,"Perseverative","Regressive"),IF(D118="C","Irrelevant",IF(D118="D","Novel","")))))</f>
        <v/>
      </c>
      <c r="J118" s="55" t="n"/>
    </row>
    <row r="119">
      <c r="A119" s="29" t="n">
        <v>110</v>
      </c>
      <c r="B119" s="29" t="inlineStr">
        <is>
          <t>BCDA</t>
        </is>
      </c>
      <c r="C119" s="47">
        <f t="array" ref="C119">IFS(D119="","", D119="A","NE", D119="B","SW", D119="C","SE", D119="D","NW",D119="Omit", "")</f>
        <v/>
      </c>
      <c r="D119" s="51" t="n"/>
      <c r="E119" s="30">
        <f>IF(D119="","",IF(D119="B","Correct","Incorrect"))</f>
        <v/>
      </c>
      <c r="F119" s="55" t="n"/>
      <c r="G119" s="55" t="n"/>
      <c r="H119" s="30">
        <f t="array" ref="H119">IF($G119="","",TEXTJOIN("",TRUE,MID($B119,MID($G119,SEQUENCE(LEN($G119),1),1)+0,1)))</f>
        <v/>
      </c>
      <c r="I119" s="30">
        <f>IF(OR(D119="",D119="Omit"),"",IF(D119="B","",IF(D119="A",IF(COUNTIF(D118:D$10,"B")=0,"Perseverative","Regressive"),IF(D119="C","Irrelevant",IF(D119="D","Novel","")))))</f>
        <v/>
      </c>
      <c r="J119" s="55" t="n"/>
    </row>
    <row r="120">
      <c r="A120" s="29" t="n">
        <v>111</v>
      </c>
      <c r="B120" s="29" t="inlineStr">
        <is>
          <t>CDAB</t>
        </is>
      </c>
      <c r="C120" s="47">
        <f t="array" ref="C120">IFS(D120="","", D120="A","NW", D120="B","NE", D120="C","SW", D120="D","SE",D120="Omit", "")</f>
        <v/>
      </c>
      <c r="D120" s="51" t="n"/>
      <c r="E120" s="30">
        <f>IF(D120="","",IF(D120="B","Correct","Incorrect"))</f>
        <v/>
      </c>
      <c r="F120" s="55" t="n"/>
      <c r="G120" s="55" t="n"/>
      <c r="H120" s="30">
        <f t="array" ref="H120">IF($G120="","",TEXTJOIN("",TRUE,MID($B120,MID($G120,SEQUENCE(LEN($G120),1),1)+0,1)))</f>
        <v/>
      </c>
      <c r="I120" s="30">
        <f>IF(OR(D120="",D120="Omit"),"",IF(D120="B","",IF(D120="A",IF(COUNTIF(D119:D$10,"B")=0,"Perseverative","Regressive"),IF(D120="C","Irrelevant",IF(D120="D","Novel","")))))</f>
        <v/>
      </c>
      <c r="J120" s="55" t="n"/>
    </row>
    <row r="121">
      <c r="A121" s="29" t="n">
        <v>112</v>
      </c>
      <c r="B121" s="29" t="inlineStr">
        <is>
          <t>DABC</t>
        </is>
      </c>
      <c r="C121" s="47">
        <f t="array" ref="C121">IFS(D121="","", D121="A","SE", D121="B","NW", D121="C","NE", D121="D","SW",D121="Omit", "")</f>
        <v/>
      </c>
      <c r="D121" s="51" t="n"/>
      <c r="E121" s="30">
        <f>IF(D121="","",IF(D121="B","Correct","Incorrect"))</f>
        <v/>
      </c>
      <c r="F121" s="55" t="n"/>
      <c r="G121" s="55" t="n"/>
      <c r="H121" s="30">
        <f t="array" ref="H121">IF($G121="","",TEXTJOIN("",TRUE,MID($B121,MID($G121,SEQUENCE(LEN($G121),1),1)+0,1)))</f>
        <v/>
      </c>
      <c r="I121" s="30">
        <f>IF(OR(D121="",D121="Omit"),"",IF(D121="B","",IF(D121="A",IF(COUNTIF(D120:D$10,"B")=0,"Perseverative","Regressive"),IF(D121="C","Irrelevant",IF(D121="D","Novel","")))))</f>
        <v/>
      </c>
      <c r="J121" s="55" t="n"/>
    </row>
    <row r="122">
      <c r="A122" s="29" t="n">
        <v>113</v>
      </c>
      <c r="B122" s="29" t="inlineStr">
        <is>
          <t>ABCD</t>
        </is>
      </c>
      <c r="C122" s="47">
        <f t="array" ref="C122">IFS(D122="","", D122="A","SW", D122="B","SE", D122="C","NW", D122="D","NE",D122="Omit", "")</f>
        <v/>
      </c>
      <c r="D122" s="51" t="n"/>
      <c r="E122" s="30">
        <f>IF(D122="","",IF(D122="B","Correct","Incorrect"))</f>
        <v/>
      </c>
      <c r="F122" s="55" t="n"/>
      <c r="G122" s="55" t="n"/>
      <c r="H122" s="30">
        <f t="array" ref="H122">IF($G122="","",TEXTJOIN("",TRUE,MID($B122,MID($G122,SEQUENCE(LEN($G122),1),1)+0,1)))</f>
        <v/>
      </c>
      <c r="I122" s="30">
        <f>IF(OR(D122="",D122="Omit"),"",IF(D122="B","",IF(D122="A",IF(COUNTIF(D121:D$10,"B")=0,"Perseverative","Regressive"),IF(D122="C","Irrelevant",IF(D122="D","Novel","")))))</f>
        <v/>
      </c>
      <c r="J122" s="55" t="n"/>
    </row>
    <row r="123">
      <c r="A123" s="29" t="n">
        <v>114</v>
      </c>
      <c r="B123" s="29" t="inlineStr">
        <is>
          <t>BCDA</t>
        </is>
      </c>
      <c r="C123" s="47">
        <f t="array" ref="C123">IFS(D123="","", D123="A","NE", D123="B","SW", D123="C","SE", D123="D","NW",D123="Omit", "")</f>
        <v/>
      </c>
      <c r="D123" s="51" t="n"/>
      <c r="E123" s="30">
        <f>IF(D123="","",IF(D123="B","Correct","Incorrect"))</f>
        <v/>
      </c>
      <c r="F123" s="55" t="n"/>
      <c r="G123" s="55" t="n"/>
      <c r="H123" s="30">
        <f t="array" ref="H123">IF($G123="","",TEXTJOIN("",TRUE,MID($B123,MID($G123,SEQUENCE(LEN($G123),1),1)+0,1)))</f>
        <v/>
      </c>
      <c r="I123" s="30">
        <f>IF(OR(D123="",D123="Omit"),"",IF(D123="B","",IF(D123="A",IF(COUNTIF(D122:D$10,"B")=0,"Perseverative","Regressive"),IF(D123="C","Irrelevant",IF(D123="D","Novel","")))))</f>
        <v/>
      </c>
      <c r="J123" s="55" t="n"/>
    </row>
    <row r="124">
      <c r="A124" s="29" t="n">
        <v>115</v>
      </c>
      <c r="B124" s="29" t="inlineStr">
        <is>
          <t>CDAB</t>
        </is>
      </c>
      <c r="C124" s="47">
        <f t="array" ref="C124">IFS(D124="","", D124="A","NW", D124="B","NE", D124="C","SW", D124="D","SE",D124="Omit", "")</f>
        <v/>
      </c>
      <c r="D124" s="51" t="n"/>
      <c r="E124" s="30">
        <f>IF(D124="","",IF(D124="B","Correct","Incorrect"))</f>
        <v/>
      </c>
      <c r="F124" s="55" t="n"/>
      <c r="G124" s="55" t="n"/>
      <c r="H124" s="30">
        <f t="array" ref="H124">IF($G124="","",TEXTJOIN("",TRUE,MID($B124,MID($G124,SEQUENCE(LEN($G124),1),1)+0,1)))</f>
        <v/>
      </c>
      <c r="I124" s="30">
        <f>IF(OR(D124="",D124="Omit"),"",IF(D124="B","",IF(D124="A",IF(COUNTIF(D123:D$10,"B")=0,"Perseverative","Regressive"),IF(D124="C","Irrelevant",IF(D124="D","Novel","")))))</f>
        <v/>
      </c>
      <c r="J124" s="55" t="n"/>
    </row>
    <row r="125">
      <c r="A125" s="29" t="n">
        <v>116</v>
      </c>
      <c r="B125" s="29" t="inlineStr">
        <is>
          <t>DABC</t>
        </is>
      </c>
      <c r="C125" s="47">
        <f t="array" ref="C125">IFS(D125="","", D125="A","SE", D125="B","NW", D125="C","NE", D125="D","SW",D125="Omit", "")</f>
        <v/>
      </c>
      <c r="D125" s="51" t="n"/>
      <c r="E125" s="30">
        <f>IF(D125="","",IF(D125="B","Correct","Incorrect"))</f>
        <v/>
      </c>
      <c r="F125" s="55" t="n"/>
      <c r="G125" s="55" t="n"/>
      <c r="H125" s="30">
        <f t="array" ref="H125">IF($G125="","",TEXTJOIN("",TRUE,MID($B125,MID($G125,SEQUENCE(LEN($G125),1),1)+0,1)))</f>
        <v/>
      </c>
      <c r="I125" s="30">
        <f>IF(OR(D125="",D125="Omit"),"",IF(D125="B","",IF(D125="A",IF(COUNTIF(D124:D$10,"B")=0,"Perseverative","Regressive"),IF(D125="C","Irrelevant",IF(D125="D","Novel","")))))</f>
        <v/>
      </c>
      <c r="J125" s="55" t="n"/>
    </row>
    <row r="126">
      <c r="A126" s="29" t="n">
        <v>117</v>
      </c>
      <c r="B126" s="29" t="inlineStr">
        <is>
          <t>ABCD</t>
        </is>
      </c>
      <c r="C126" s="47">
        <f t="array" ref="C126">IFS(D126="","", D126="A","SW", D126="B","SE", D126="C","NW", D126="D","NE",D126="Omit", "")</f>
        <v/>
      </c>
      <c r="D126" s="51" t="n"/>
      <c r="E126" s="30">
        <f>IF(D126="","",IF(D126="B","Correct","Incorrect"))</f>
        <v/>
      </c>
      <c r="F126" s="55" t="n"/>
      <c r="G126" s="55" t="n"/>
      <c r="H126" s="30">
        <f t="array" ref="H126">IF($G126="","",TEXTJOIN("",TRUE,MID($B126,MID($G126,SEQUENCE(LEN($G126),1),1)+0,1)))</f>
        <v/>
      </c>
      <c r="I126" s="30">
        <f>IF(OR(D126="",D126="Omit"),"",IF(D126="B","",IF(D126="A",IF(COUNTIF(D125:D$10,"B")=0,"Perseverative","Regressive"),IF(D126="C","Irrelevant",IF(D126="D","Novel","")))))</f>
        <v/>
      </c>
      <c r="J126" s="55" t="n"/>
    </row>
    <row r="127">
      <c r="A127" s="29" t="n">
        <v>118</v>
      </c>
      <c r="B127" s="29" t="inlineStr">
        <is>
          <t>BCDA</t>
        </is>
      </c>
      <c r="C127" s="47">
        <f t="array" ref="C127">IFS(D127="","", D127="A","NE", D127="B","SW", D127="C","SE", D127="D","NW",D127="Omit", "")</f>
        <v/>
      </c>
      <c r="D127" s="51" t="n"/>
      <c r="E127" s="30">
        <f>IF(D127="","",IF(D127="B","Correct","Incorrect"))</f>
        <v/>
      </c>
      <c r="F127" s="55" t="n"/>
      <c r="G127" s="55" t="n"/>
      <c r="H127" s="30">
        <f t="array" ref="H127">IF($G127="","",TEXTJOIN("",TRUE,MID($B127,MID($G127,SEQUENCE(LEN($G127),1),1)+0,1)))</f>
        <v/>
      </c>
      <c r="I127" s="30">
        <f>IF(OR(D127="",D127="Omit"),"",IF(D127="B","",IF(D127="A",IF(COUNTIF(D126:D$10,"B")=0,"Perseverative","Regressive"),IF(D127="C","Irrelevant",IF(D127="D","Novel","")))))</f>
        <v/>
      </c>
      <c r="J127" s="55" t="n"/>
    </row>
    <row r="128">
      <c r="A128" s="29" t="n">
        <v>119</v>
      </c>
      <c r="B128" s="29" t="inlineStr">
        <is>
          <t>CDAB</t>
        </is>
      </c>
      <c r="C128" s="47">
        <f t="array" ref="C128">IFS(D128="","", D128="A","NW", D128="B","NE", D128="C","SW", D128="D","SE",D128="Omit", "")</f>
        <v/>
      </c>
      <c r="D128" s="51" t="n"/>
      <c r="E128" s="30">
        <f>IF(D128="","",IF(D128="B","Correct","Incorrect"))</f>
        <v/>
      </c>
      <c r="F128" s="55" t="n"/>
      <c r="G128" s="55" t="n"/>
      <c r="H128" s="30">
        <f t="array" ref="H128">IF($G128="","",TEXTJOIN("",TRUE,MID($B128,MID($G128,SEQUENCE(LEN($G128),1),1)+0,1)))</f>
        <v/>
      </c>
      <c r="I128" s="30">
        <f>IF(OR(D128="",D128="Omit"),"",IF(D128="B","",IF(D128="A",IF(COUNTIF(D127:D$10,"B")=0,"Perseverative","Regressive"),IF(D128="C","Irrelevant",IF(D128="D","Novel","")))))</f>
        <v/>
      </c>
      <c r="J128" s="55" t="n"/>
    </row>
    <row r="129">
      <c r="A129" s="29" t="n">
        <v>120</v>
      </c>
      <c r="B129" s="29" t="inlineStr">
        <is>
          <t>DABC</t>
        </is>
      </c>
      <c r="C129" s="47">
        <f t="array" ref="C129">IFS(D129="","", D129="A","SE", D129="B","NW", D129="C","NE", D129="D","SW",D129="Omit", "")</f>
        <v/>
      </c>
      <c r="D129" s="51" t="n"/>
      <c r="E129" s="30">
        <f>IF(D129="","",IF(D129="B","Correct","Incorrect"))</f>
        <v/>
      </c>
      <c r="F129" s="55" t="n"/>
      <c r="G129" s="55" t="n"/>
      <c r="H129" s="30">
        <f t="array" ref="H129">IF($G129="","",TEXTJOIN("",TRUE,MID($B129,MID($G129,SEQUENCE(LEN($G129),1),1)+0,1)))</f>
        <v/>
      </c>
      <c r="I129" s="30">
        <f>IF(OR(D129="",D129="Omit"),"",IF(D129="B","",IF(D129="A",IF(COUNTIF(D128:D$10,"B")=0,"Perseverative","Regressive"),IF(D129="C","Irrelevant",IF(D129="D","Novel","")))))</f>
        <v/>
      </c>
      <c r="J129" s="55" t="n"/>
    </row>
  </sheetData>
  <mergeCells count="1">
    <mergeCell ref="A1:J1"/>
  </mergeCells>
  <conditionalFormatting sqref="E10:E129">
    <cfRule type="cellIs" priority="1" operator="equal" dxfId="0">
      <formula>"Correct"</formula>
    </cfRule>
    <cfRule type="cellIs" priority="2" operator="equal" dxfId="1">
      <formula>"Incorrect"</formula>
    </cfRule>
  </conditionalFormatting>
  <conditionalFormatting sqref="I10:I129">
    <cfRule type="cellIs" priority="3" operator="equal" dxfId="1">
      <formula>"Perseverative"</formula>
    </cfRule>
    <cfRule type="cellIs" priority="4" operator="equal" dxfId="2">
      <formula>"Regressive"</formula>
    </cfRule>
    <cfRule type="cellIs" priority="5" operator="equal" dxfId="3">
      <formula>"Irrelevant"</formula>
    </cfRule>
    <cfRule type="cellIs" priority="6" operator="equal" dxfId="4">
      <formula>"Novel"</formula>
    </cfRule>
  </conditionalFormatting>
  <dataValidations count="1">
    <dataValidation sqref="D10:D129" showDropDown="0" showInputMessage="1" showErrorMessage="1" allowBlank="1" prompt="Click and enter a value from the list of items" type="list">
      <formula1>"A,B,C,D,Omit"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1002"/>
  <sheetViews>
    <sheetView workbookViewId="0">
      <selection activeCell="A1" sqref="A1"/>
    </sheetView>
  </sheetViews>
  <sheetFormatPr baseColWidth="8" defaultColWidth="12.63" defaultRowHeight="15" customHeight="1"/>
  <cols>
    <col width="44.63" customWidth="1" style="62" min="1" max="1"/>
    <col width="18.88" customWidth="1" style="62" min="2" max="4"/>
  </cols>
  <sheetData>
    <row r="1" ht="30" customHeight="1" s="62">
      <c r="A1" s="66" t="inlineStr">
        <is>
          <t>SECTION 9 — Summary</t>
        </is>
      </c>
      <c r="E1" s="57" t="n"/>
      <c r="F1" s="57" t="n"/>
      <c r="G1" s="57" t="n"/>
      <c r="H1" s="57" t="n"/>
    </row>
    <row r="2">
      <c r="A2" s="5" t="n"/>
      <c r="B2" s="5" t="n"/>
      <c r="C2" s="5" t="n"/>
      <c r="D2" s="5" t="n"/>
      <c r="E2" s="57" t="n"/>
      <c r="F2" s="57" t="n"/>
      <c r="G2" s="57" t="n"/>
      <c r="H2" s="57" t="n"/>
    </row>
    <row r="3">
      <c r="A3" s="31" t="n"/>
      <c r="B3" s="31" t="inlineStr">
        <is>
          <t>DISC</t>
        </is>
      </c>
      <c r="C3" s="20" t="inlineStr">
        <is>
          <t>RECALL</t>
        </is>
      </c>
      <c r="D3" s="20" t="inlineStr">
        <is>
          <t>REV</t>
        </is>
      </c>
    </row>
    <row r="4">
      <c r="A4" s="25" t="inlineStr">
        <is>
          <t>Trials to Criterion:</t>
        </is>
      </c>
      <c r="B4" s="58">
        <f>COUNTA(DISC!D10:D129)</f>
        <v/>
      </c>
      <c r="C4" s="30">
        <f>COUNTA(RECALL!D10:D129)</f>
        <v/>
      </c>
      <c r="D4" s="58">
        <f>COUNTA(REV!D10:D129)</f>
        <v/>
      </c>
    </row>
    <row r="5">
      <c r="A5" s="25" t="inlineStr">
        <is>
          <t>Total correct:</t>
        </is>
      </c>
      <c r="B5" s="58">
        <f>COUNTIF(DISC!E10:E129,"Correct")</f>
        <v/>
      </c>
      <c r="C5" s="30">
        <f>COUNTIF(RECALL!E10:E129,"Correct")</f>
        <v/>
      </c>
      <c r="D5" s="58">
        <f>COUNTIF(REV!E10:E129,"Correct")</f>
        <v/>
      </c>
    </row>
    <row r="6">
      <c r="A6" s="25" t="inlineStr">
        <is>
          <t>Total errors:</t>
        </is>
      </c>
      <c r="B6" s="58">
        <f>COUNTIF(DISC!E10:E129,"Incorrect")</f>
        <v/>
      </c>
      <c r="C6" s="30">
        <f>COUNTIF(RECALL!E10:E129,"Incorrect")</f>
        <v/>
      </c>
      <c r="D6" s="58">
        <f>COUNTIF(REV!E10:E129,"Incorrect")</f>
        <v/>
      </c>
    </row>
    <row r="7">
      <c r="A7" s="25" t="inlineStr">
        <is>
          <t>Trials to Criterion After 1 Correct:</t>
        </is>
      </c>
      <c r="B7" s="58">
        <f>IF(COUNTIF(DISC!E10:E129,"Correct")=0,"",COUNTA(DISC!D10:D129)-MATCH("Correct",DISC!E10:E129,0))</f>
        <v/>
      </c>
      <c r="C7" s="30">
        <f>IF(COUNTIF(RECALL!E10:E129,"Correct")=0,"",COUNTA(RECALL!D10:D129)-MATCH("Correct",RECALL!E10:E129,0))</f>
        <v/>
      </c>
      <c r="D7" s="58">
        <f>IF(COUNTIF(REV!E10:E129,"Correct")=0,"",COUNTA(REV!D10:D129)-MATCH("Correct",REV!E10:E129,0))</f>
        <v/>
      </c>
    </row>
    <row r="8">
      <c r="A8" s="25" t="inlineStr">
        <is>
          <t>Number of Errors Before 1 Correct</t>
        </is>
      </c>
      <c r="B8" s="58">
        <f t="array" ref="B8">IF(COUNTIF(DISC!E10:E129,"Correct")=0,COUNTIF(DISC!E10:E129,"Incorrect"),COUNTIF(DISC!E10:INDEX(DISC!E10:E129,MATCH("Correct",DISC!E10:E129,0)),"Incorrect"))</f>
        <v/>
      </c>
      <c r="C8" s="30">
        <f t="array" ref="C8">IF(COUNTIF(RECALL!E10:E129,"Correct")=0,COUNTIF(RECALL!E10:E129,"Incorrect"),COUNTIF(RECALL!E10:INDEX(RECALL!E10:E129,MATCH("Correct",RECALL!E10:E129,0)),"Incorrect"))</f>
        <v/>
      </c>
      <c r="D8" s="58">
        <f t="array" ref="D8">IF(COUNTIF(REV!E10:E129,"Correct")=0,COUNTIF(REV!E10:E129,"Incorrect"),COUNTIF(REV!E10:INDEX(REV!E10:E129,MATCH("Correct",REV!E10:E129,0)),"Incorrect"))</f>
        <v/>
      </c>
    </row>
    <row r="9">
      <c r="A9" s="25" t="inlineStr">
        <is>
          <t>Number of Errors After 1 Correct</t>
        </is>
      </c>
      <c r="B9" s="58">
        <f>IF(COUNTIF(DISC!E10:E129,"Correct")=0,"",COUNTIF(DISC!E10:E129,"Incorrect")-B8)</f>
        <v/>
      </c>
      <c r="C9" s="30">
        <f>IF(COUNTIF(RECALL!E10:E129,"Correct")=0,"",COUNTIF(RECALL!E10:E129,"Incorrect")-C8)</f>
        <v/>
      </c>
      <c r="D9" s="58">
        <f>IF(COUNTIF(REV!E10:E129,"Correct")=0,"",COUNTIF(REV!E10:E129,"Incorrect")-D8)</f>
        <v/>
      </c>
    </row>
    <row r="10">
      <c r="A10" s="25" t="inlineStr">
        <is>
          <t>Number of omissions:</t>
        </is>
      </c>
      <c r="B10" s="58">
        <f>COUNTIF(DISC!D10:D129,"Omit")</f>
        <v/>
      </c>
      <c r="C10" s="30">
        <f>COUNTIF(RECALL!D10:D129,"Omit")</f>
        <v/>
      </c>
      <c r="D10" s="58">
        <f>COUNTIF(REV!D10:D129,"Omit")</f>
        <v/>
      </c>
    </row>
    <row r="11">
      <c r="A11" s="25" t="inlineStr">
        <is>
          <t>Total Latency (s):</t>
        </is>
      </c>
      <c r="B11" s="58">
        <f>SUM(DISC!F10:F129)</f>
        <v/>
      </c>
      <c r="C11" s="58">
        <f>SUM(RECALL!F10:F129)</f>
        <v/>
      </c>
      <c r="D11" s="58">
        <f>SUM(REV!F10:F129)</f>
        <v/>
      </c>
    </row>
    <row r="12">
      <c r="A12" s="25" t="inlineStr">
        <is>
          <t>Mean Latency (s):</t>
        </is>
      </c>
      <c r="B12" s="59">
        <f>IFERROR(AVERAGE(DISC!F10:F129),"")</f>
        <v/>
      </c>
      <c r="C12" s="30">
        <f>IFERROR(AVERAGE(RECALL!F10:F129),"")</f>
        <v/>
      </c>
      <c r="D12" s="59">
        <f>IFERROR(AVERAGE(REV!F10:F129),"")</f>
        <v/>
      </c>
    </row>
    <row r="13">
      <c r="A13" s="25" t="inlineStr">
        <is>
          <t>Mean Latency in Correct Trials (s):</t>
        </is>
      </c>
      <c r="B13" s="59">
        <f>IFERROR(AVERAGEIF(DISC!E10:E129,"Correct",DISC!F10:F129),"")</f>
        <v/>
      </c>
      <c r="C13" s="30">
        <f>IFERROR(AVERAGEIF(RECALL!E10:E129,"Correct",RECALL!F10:F129),"")</f>
        <v/>
      </c>
      <c r="D13" s="59">
        <f>IFERROR(AVERAGEIF(REV!E10:E129,"Correct",REV!F10:F129),"")</f>
        <v/>
      </c>
    </row>
    <row r="14">
      <c r="A14" s="25" t="inlineStr">
        <is>
          <t>Mean Latency in Incorrect Trials (s):</t>
        </is>
      </c>
      <c r="B14" s="59">
        <f>IFERROR(AVERAGEIF(DISC!E10:E129,"Incorrect",DISC!F10:F129),"")</f>
        <v/>
      </c>
      <c r="C14" s="30">
        <f>IFERROR(AVERAGEIF(RECALL!E10:E129,"Incorrect",RECALL!F10:F129),"")</f>
        <v/>
      </c>
      <c r="D14" s="59">
        <f>IFERROR(AVERAGEIF(REV!E10:E129,"Incorrect",REV!F10:F129),"")</f>
        <v/>
      </c>
    </row>
    <row r="15">
      <c r="A15" s="25" t="inlineStr">
        <is>
          <t># of Repeating the Previous Odor Choice:</t>
        </is>
      </c>
      <c r="B15" s="58">
        <f t="array" ref="B15">SUMPRODUCT((DISC!D11:D129&lt;&gt;"")*(DISC!D10:D128&lt;&gt;"")*(DISC!D11:D129=DISC!D10:D128))</f>
        <v/>
      </c>
      <c r="C15" s="30">
        <f t="array" ref="C15">SUMPRODUCT((RECALL!D11:D129&lt;&gt;"")*(RECALL!D10:D128&lt;&gt;"")*(RECALL!D11:D129=RECALL!D10:D128))</f>
        <v/>
      </c>
      <c r="D15" s="58">
        <f t="array" ref="D15">SUMPRODUCT((REV!D11:D129&lt;&gt;"")*(REV!D10:D128&lt;&gt;"")*(REV!D11:D129=REV!D10:D128))</f>
        <v/>
      </c>
    </row>
    <row r="16">
      <c r="A16" s="25" t="inlineStr">
        <is>
          <t># of Repeating the Previous Quadrant Choice:</t>
        </is>
      </c>
      <c r="B16" s="58">
        <f t="array" ref="B16">SUMPRODUCT((DISC!C11:C129&lt;&gt;"")*(DISC!C10:C128&lt;&gt;"")*(DISC!C11:C129=DISC!C10:C128))</f>
        <v/>
      </c>
      <c r="C16" s="30">
        <f t="array" ref="C16">SUMPRODUCT((RECALL!C11:C129&lt;&gt;"")*(RECALL!C10:C128&lt;&gt;"")*(RECALL!C11:C129=RECALL!C10:C128))</f>
        <v/>
      </c>
      <c r="D16" s="58">
        <f t="array" ref="D16">SUMPRODUCT((REV!C11:C129&lt;&gt;"")*(REV!C10:C128&lt;&gt;"")*(REV!C11:C129=REV!C10:C128))</f>
        <v/>
      </c>
    </row>
    <row r="17">
      <c r="A17" s="25" t="inlineStr">
        <is>
          <t>Total Number of A Entries:</t>
        </is>
      </c>
      <c r="B17" s="58">
        <f t="array" ref="B17">SUMPRODUCT(LEN(DISC!$H$10:$H$129)-LEN(SUBSTITUTE(DISC!$H$10:$H$129,"A","")))</f>
        <v/>
      </c>
      <c r="C17" s="30">
        <f t="array" ref="C17">SUMPRODUCT(LEN(RECALL!$H$10:$H$129)-LEN(SUBSTITUTE(RECALL!$H$10:$H$129,"A","")))</f>
        <v/>
      </c>
      <c r="D17" s="58">
        <f t="array" ref="D17">SUMPRODUCT(LEN(REV!$H$10:$H$129)-LEN(SUBSTITUTE(REV!$H$10:$H$129,"A","")))</f>
        <v/>
      </c>
    </row>
    <row r="18">
      <c r="A18" s="25" t="inlineStr">
        <is>
          <t>Total Number of B Entries:</t>
        </is>
      </c>
      <c r="B18" s="58">
        <f t="array" ref="B18">SUMPRODUCT(LEN(DISC!$H$10:$H$129)-LEN(SUBSTITUTE(DISC!$H$10:$H$129,"B","")))</f>
        <v/>
      </c>
      <c r="C18" s="30">
        <f t="array" ref="C18">SUMPRODUCT(LEN(RECALL!$H$10:$H$129)-LEN(SUBSTITUTE(RECALL!$H$10:$H$129,"B","")))</f>
        <v/>
      </c>
      <c r="D18" s="58">
        <f t="array" ref="D18">SUMPRODUCT(LEN(REV!$H$10:$H$129)-LEN(SUBSTITUTE(REV!$H$10:$H$129,"B","")))</f>
        <v/>
      </c>
    </row>
    <row r="19">
      <c r="A19" s="25" t="inlineStr">
        <is>
          <t>Total Number of C Entries:</t>
        </is>
      </c>
      <c r="B19" s="58">
        <f t="array" ref="B19">SUMPRODUCT(LEN(DISC!$H$10:$H$129)-LEN(SUBSTITUTE(DISC!$H$10:$H$129,"C","")))</f>
        <v/>
      </c>
      <c r="C19" s="30">
        <f t="array" ref="C19">SUMPRODUCT(LEN(RECALL!$H$10:$H$129)-LEN(SUBSTITUTE(RECALL!$H$10:$H$129,"C","")))</f>
        <v/>
      </c>
      <c r="D19" s="58">
        <f t="array" ref="D19">SUMPRODUCT(LEN(REV!$H$10:$H$129)-LEN(SUBSTITUTE(REV!$H$10:$H$129,"C","")))</f>
        <v/>
      </c>
    </row>
    <row r="20">
      <c r="A20" s="25" t="inlineStr">
        <is>
          <t>Total Number of D Entries:</t>
        </is>
      </c>
      <c r="B20" s="58">
        <f t="array" ref="B20">SUMPRODUCT(LEN(DISC!$H$10:$H$129)-LEN(SUBSTITUTE(DISC!$H$10:$H$129,"D","")))</f>
        <v/>
      </c>
      <c r="C20" s="30">
        <f t="array" ref="C20">SUMPRODUCT(LEN(RECALL!$H$10:$H$129)-LEN(SUBSTITUTE(RECALL!$H$10:$H$129,"D","")))</f>
        <v/>
      </c>
      <c r="D20" s="58">
        <f t="array" ref="D20">SUMPRODUCT(LEN(REV!$H$10:$H$129)-LEN(SUBSTITUTE(REV!$H$10:$H$129,"D","")))</f>
        <v/>
      </c>
    </row>
    <row r="21">
      <c r="A21" s="25" t="inlineStr">
        <is>
          <t># of First Entry as Choice:</t>
        </is>
      </c>
      <c r="B21" s="58">
        <f t="array" ref="B21">SUMPRODUCT((DISC!$D$10:$D$129&lt;&gt;"")*(DISC!$H$10:$H$129&lt;&gt;"")*(LEFT(DISC!$H$10:$H$129,1)=DISC!$D$10:$D$129))</f>
        <v/>
      </c>
      <c r="C21" s="30">
        <f t="array" ref="C21">SUMPRODUCT((RECALL!$D$10:$D$129&lt;&gt;"")*(RECALL!$H$10:$H$129&lt;&gt;"")*(LEFT(RECALL!$H$10:$H$129,1)=RECALL!$D$10:$D$129))</f>
        <v/>
      </c>
      <c r="D21" s="58">
        <f t="array" ref="D21">SUMPRODUCT((REV!$D$10:$D$129&lt;&gt;"")*(REV!$H$10:$H$129&lt;&gt;"")*(LEFT(REV!$H$10:$H$129,1)=REV!$D$10:$D$129))</f>
        <v/>
      </c>
    </row>
    <row r="22">
      <c r="A22" s="25" t="inlineStr">
        <is>
          <t>Mean Number of Entries in Correct Trials:</t>
        </is>
      </c>
      <c r="B22" s="59">
        <f t="array" ref="B22">IFERROR(SUMPRODUCT((DISC!$E$10:$E$129="Correct")*LEN(DISC!$G$10:$G$129))/COUNTIF(DISC!$E$10:$E$129,"Correct"),"")</f>
        <v/>
      </c>
      <c r="C22" s="30">
        <f t="array" ref="C22">IFERROR(SUMPRODUCT((RECALL!$E$10:$E$129="Correct")*LEN(RECALL!$G$10:$G$129))/COUNTIF(RECALL!$E$10:$E$129,"Correct"),"")</f>
        <v/>
      </c>
      <c r="D22" s="59">
        <f t="array" ref="D22">IFERROR(SUMPRODUCT((REV!$E$10:$E$129="Correct")*LEN(REV!$G$10:$G$129))/COUNTIF(REV!$E$10:$E$129,"Correct"),"")</f>
        <v/>
      </c>
    </row>
    <row r="23">
      <c r="A23" s="25" t="inlineStr">
        <is>
          <t>Mean Number of Entries in Incorrect Trials:</t>
        </is>
      </c>
      <c r="B23" s="59">
        <f t="array" ref="B23">IFERROR(SUMPRODUCT((DISC!$E$10:$E$129="Incorrect")*LEN(DISC!$G$10:$G$129))/COUNTIF(DISC!$E$10:$E$129,"Incorrect"),"")</f>
        <v/>
      </c>
      <c r="C23" s="30">
        <f t="array" ref="C23">IFERROR(SUMPRODUCT((RECALL!$E$10:$E$129="Incorrect")*LEN(RECALL!$G$10:$G$129))/COUNTIF(RECALL!$E$10:$E$129,"Incorrect"),"")</f>
        <v/>
      </c>
      <c r="D23" s="59">
        <f t="array" ref="D23">IFERROR(SUMPRODUCT((REV!$E$10:$E$129="Incorrect")*LEN(REV!$G$10:$G$129))/COUNTIF(REV!$E$10:$E$129,"Incorrect"),"")</f>
        <v/>
      </c>
    </row>
    <row r="24">
      <c r="A24" s="25" t="inlineStr">
        <is>
          <t>Mean Number of Entries in Omission Trials:</t>
        </is>
      </c>
      <c r="B24" s="59">
        <f t="array" ref="B24">IFERROR(SUMPRODUCT((DISC!$D$10:$D$129="Omit")*LEN(DISC!$G$10:$G$129))/COUNTIF(DISC!$D$10:$D$129,"Omit"),"")</f>
        <v/>
      </c>
      <c r="C24" s="30">
        <f t="array" ref="C24">IFERROR(SUMPRODUCT((RECALL!$D$10:$D$129="Omit")*LEN(RECALL!$G$10:$G$129))/COUNTIF(RECALL!$D$10:$D$129,"Omit"),"")</f>
        <v/>
      </c>
      <c r="D24" s="59">
        <f t="array" ref="D24">IFERROR(SUMPRODUCT((REV!$D$10:$D$129="Omit")*LEN(REV!$G$10:$G$129))/COUNTIF(REV!$D$10:$D$129,"Omit"),"")</f>
        <v/>
      </c>
    </row>
    <row r="25">
      <c r="A25" s="25" t="inlineStr">
        <is>
          <t>Total reversal errors (Reversal only):</t>
        </is>
      </c>
      <c r="B25" s="29" t="n"/>
      <c r="C25" s="29" t="n"/>
      <c r="D25" s="58">
        <f>COUNTIF(REV!$I$10:$I$129,"Perseverative")+COUNTIF(REV!$I$10:$I$129,"Regressive")</f>
        <v/>
      </c>
    </row>
    <row r="26">
      <c r="A26" s="25" t="inlineStr">
        <is>
          <t>Perseverative errors (Reversal only):</t>
        </is>
      </c>
      <c r="B26" s="29" t="n"/>
      <c r="C26" s="29" t="n"/>
      <c r="D26" s="58">
        <f>COUNTIF(REV!$I$10:$I$129,"Perseverative")</f>
        <v/>
      </c>
    </row>
    <row r="27">
      <c r="A27" s="25" t="inlineStr">
        <is>
          <t>Regressive errors (Reversal only):</t>
        </is>
      </c>
      <c r="B27" s="29" t="n"/>
      <c r="C27" s="29" t="n"/>
      <c r="D27" s="58">
        <f>COUNTIF(REV!$I$10:$I$129,"Regressive")</f>
        <v/>
      </c>
    </row>
    <row r="28">
      <c r="A28" s="25" t="inlineStr">
        <is>
          <t>Irrelevant errors (O3) (Reversal only):</t>
        </is>
      </c>
      <c r="B28" s="29" t="n"/>
      <c r="C28" s="29" t="n"/>
      <c r="D28" s="58">
        <f>COUNTIF(REV!$I$10:$I$129,"Irrelevant")</f>
        <v/>
      </c>
    </row>
    <row r="29">
      <c r="A29" s="25" t="inlineStr">
        <is>
          <t>Novel errors (O4 (Reversal only):</t>
        </is>
      </c>
      <c r="B29" s="29" t="n"/>
      <c r="C29" s="29" t="n"/>
      <c r="D29" s="58">
        <f>COUNTIF(REV!$I$10:$I$129,"Novel")</f>
        <v/>
      </c>
    </row>
    <row r="37">
      <c r="C37" s="60" t="n"/>
    </row>
    <row r="38">
      <c r="C38" s="60" t="n"/>
    </row>
    <row r="39">
      <c r="C39" s="60" t="n"/>
    </row>
    <row r="40">
      <c r="C40" s="60" t="n"/>
    </row>
    <row r="41">
      <c r="C41" s="60" t="n"/>
    </row>
    <row r="81">
      <c r="A81" s="61" t="n"/>
      <c r="B81" s="61" t="n"/>
    </row>
    <row r="82">
      <c r="A82" s="61" t="n"/>
      <c r="B82" s="61" t="n"/>
    </row>
    <row r="83">
      <c r="A83" s="61" t="n"/>
      <c r="B83" s="61" t="n"/>
    </row>
    <row r="84">
      <c r="A84" s="61" t="n"/>
      <c r="B84" s="61" t="n"/>
    </row>
    <row r="85">
      <c r="A85" s="61" t="n"/>
      <c r="B85" s="61" t="n"/>
    </row>
    <row r="86">
      <c r="A86" s="61" t="n"/>
      <c r="B86" s="61" t="n"/>
    </row>
    <row r="87">
      <c r="A87" s="61" t="n"/>
      <c r="B87" s="61" t="n"/>
    </row>
    <row r="88">
      <c r="A88" s="61" t="n"/>
      <c r="B88" s="61" t="n"/>
    </row>
    <row r="89">
      <c r="A89" s="61" t="n"/>
      <c r="B89" s="61" t="n"/>
    </row>
    <row r="90">
      <c r="A90" s="61" t="n"/>
      <c r="B90" s="61" t="n"/>
    </row>
    <row r="91">
      <c r="A91" s="61" t="n"/>
      <c r="B91" s="61" t="n"/>
    </row>
    <row r="92">
      <c r="A92" s="61" t="n"/>
      <c r="B92" s="61" t="n"/>
    </row>
    <row r="93">
      <c r="A93" s="61" t="n"/>
      <c r="B93" s="61" t="n"/>
    </row>
    <row r="94">
      <c r="A94" s="61" t="n"/>
      <c r="B94" s="61" t="n"/>
    </row>
    <row r="95">
      <c r="A95" s="61" t="n"/>
      <c r="B95" s="61" t="n"/>
    </row>
    <row r="96">
      <c r="A96" s="61" t="n"/>
      <c r="B96" s="61" t="n"/>
    </row>
    <row r="97">
      <c r="A97" s="61" t="n"/>
      <c r="B97" s="61" t="n"/>
    </row>
    <row r="98">
      <c r="A98" s="61" t="n"/>
      <c r="B98" s="61" t="n"/>
    </row>
    <row r="99">
      <c r="A99" s="61" t="n"/>
      <c r="B99" s="61" t="n"/>
    </row>
    <row r="100">
      <c r="A100" s="61" t="n"/>
      <c r="B100" s="61" t="n"/>
    </row>
    <row r="101">
      <c r="A101" s="61" t="n"/>
      <c r="B101" s="61" t="n"/>
    </row>
    <row r="102">
      <c r="A102" s="61" t="n"/>
      <c r="B102" s="61" t="n"/>
    </row>
    <row r="103">
      <c r="A103" s="61" t="n"/>
      <c r="B103" s="61" t="n"/>
    </row>
    <row r="104">
      <c r="A104" s="61" t="n"/>
      <c r="B104" s="61" t="n"/>
    </row>
    <row r="105">
      <c r="A105" s="61" t="n"/>
      <c r="B105" s="61" t="n"/>
    </row>
    <row r="106">
      <c r="A106" s="61" t="n"/>
      <c r="B106" s="61" t="n"/>
    </row>
    <row r="107">
      <c r="A107" s="61" t="n"/>
      <c r="B107" s="61" t="n"/>
    </row>
    <row r="108">
      <c r="A108" s="61" t="n"/>
      <c r="B108" s="61" t="n"/>
    </row>
    <row r="109">
      <c r="A109" s="61" t="n"/>
      <c r="B109" s="61" t="n"/>
    </row>
    <row r="110">
      <c r="A110" s="61" t="n"/>
      <c r="B110" s="61" t="n"/>
    </row>
    <row r="111">
      <c r="A111" s="61" t="n"/>
      <c r="B111" s="61" t="n"/>
    </row>
    <row r="112">
      <c r="A112" s="61" t="n"/>
      <c r="B112" s="61" t="n"/>
    </row>
    <row r="113">
      <c r="A113" s="61" t="n"/>
      <c r="B113" s="61" t="n"/>
    </row>
    <row r="114">
      <c r="A114" s="61" t="n"/>
      <c r="B114" s="61" t="n"/>
    </row>
    <row r="115">
      <c r="A115" s="61" t="n"/>
      <c r="B115" s="61" t="n"/>
    </row>
    <row r="116">
      <c r="A116" s="61" t="n"/>
      <c r="B116" s="61" t="n"/>
    </row>
    <row r="117">
      <c r="A117" s="61" t="n"/>
      <c r="B117" s="61" t="n"/>
    </row>
    <row r="118">
      <c r="A118" s="61" t="n"/>
      <c r="B118" s="61" t="n"/>
    </row>
    <row r="119">
      <c r="A119" s="61" t="n"/>
      <c r="B119" s="61" t="n"/>
    </row>
    <row r="120">
      <c r="A120" s="61" t="n"/>
      <c r="B120" s="61" t="n"/>
    </row>
    <row r="121">
      <c r="A121" s="61" t="n"/>
      <c r="B121" s="61" t="n"/>
    </row>
    <row r="122">
      <c r="A122" s="61" t="n"/>
      <c r="B122" s="61" t="n"/>
    </row>
    <row r="123">
      <c r="A123" s="61" t="n"/>
      <c r="B123" s="61" t="n"/>
    </row>
    <row r="124">
      <c r="A124" s="61" t="n"/>
      <c r="B124" s="61" t="n"/>
    </row>
    <row r="125">
      <c r="A125" s="61" t="n"/>
      <c r="B125" s="61" t="n"/>
    </row>
    <row r="126">
      <c r="A126" s="61" t="n"/>
      <c r="B126" s="61" t="n"/>
    </row>
    <row r="127">
      <c r="A127" s="61" t="n"/>
      <c r="B127" s="61" t="n"/>
    </row>
    <row r="128">
      <c r="A128" s="61" t="n"/>
      <c r="B128" s="61" t="n"/>
    </row>
    <row r="129">
      <c r="A129" s="61" t="n"/>
      <c r="B129" s="61" t="n"/>
    </row>
    <row r="130">
      <c r="A130" s="61" t="n"/>
      <c r="B130" s="61" t="n"/>
    </row>
    <row r="131">
      <c r="A131" s="61" t="n"/>
      <c r="B131" s="61" t="n"/>
    </row>
    <row r="132">
      <c r="A132" s="61" t="n"/>
      <c r="B132" s="61" t="n"/>
    </row>
    <row r="133">
      <c r="A133" s="61" t="n"/>
      <c r="B133" s="61" t="n"/>
    </row>
    <row r="134">
      <c r="A134" s="61" t="n"/>
      <c r="B134" s="61" t="n"/>
    </row>
    <row r="135">
      <c r="A135" s="61" t="n"/>
      <c r="B135" s="61" t="n"/>
    </row>
    <row r="136">
      <c r="A136" s="61" t="n"/>
      <c r="B136" s="61" t="n"/>
    </row>
    <row r="137">
      <c r="A137" s="61" t="n"/>
      <c r="B137" s="61" t="n"/>
    </row>
    <row r="138">
      <c r="A138" s="61" t="n"/>
      <c r="B138" s="61" t="n"/>
    </row>
    <row r="139">
      <c r="A139" s="61" t="n"/>
      <c r="B139" s="61" t="n"/>
    </row>
    <row r="140">
      <c r="A140" s="61" t="n"/>
      <c r="B140" s="61" t="n"/>
    </row>
    <row r="141">
      <c r="A141" s="61" t="n"/>
      <c r="B141" s="61" t="n"/>
    </row>
    <row r="142">
      <c r="A142" s="61" t="n"/>
      <c r="B142" s="61" t="n"/>
    </row>
    <row r="143">
      <c r="A143" s="61" t="n"/>
      <c r="B143" s="61" t="n"/>
    </row>
    <row r="144">
      <c r="A144" s="61" t="n"/>
      <c r="B144" s="61" t="n"/>
    </row>
    <row r="145">
      <c r="A145" s="61" t="n"/>
      <c r="B145" s="61" t="n"/>
    </row>
    <row r="146">
      <c r="A146" s="61" t="n"/>
      <c r="B146" s="61" t="n"/>
    </row>
    <row r="147">
      <c r="A147" s="61" t="n"/>
      <c r="B147" s="61" t="n"/>
    </row>
    <row r="148">
      <c r="A148" s="61" t="n"/>
      <c r="B148" s="61" t="n"/>
    </row>
    <row r="149">
      <c r="A149" s="61" t="n"/>
      <c r="B149" s="61" t="n"/>
    </row>
    <row r="150">
      <c r="A150" s="61" t="n"/>
      <c r="B150" s="61" t="n"/>
    </row>
    <row r="151">
      <c r="A151" s="61" t="n"/>
      <c r="B151" s="61" t="n"/>
    </row>
    <row r="152">
      <c r="A152" s="61" t="n"/>
      <c r="B152" s="61" t="n"/>
    </row>
    <row r="153">
      <c r="A153" s="61" t="n"/>
      <c r="B153" s="61" t="n"/>
    </row>
    <row r="154">
      <c r="A154" s="61" t="n"/>
      <c r="B154" s="61" t="n"/>
    </row>
    <row r="155">
      <c r="A155" s="61" t="n"/>
      <c r="B155" s="61" t="n"/>
    </row>
    <row r="156">
      <c r="A156" s="61" t="n"/>
      <c r="B156" s="61" t="n"/>
    </row>
    <row r="157">
      <c r="A157" s="61" t="n"/>
      <c r="B157" s="61" t="n"/>
    </row>
    <row r="158">
      <c r="A158" s="61" t="n"/>
      <c r="B158" s="61" t="n"/>
    </row>
    <row r="159">
      <c r="A159" s="61" t="n"/>
      <c r="B159" s="61" t="n"/>
    </row>
    <row r="160">
      <c r="A160" s="61" t="n"/>
      <c r="B160" s="61" t="n"/>
    </row>
    <row r="161">
      <c r="A161" s="61" t="n"/>
      <c r="B161" s="61" t="n"/>
    </row>
    <row r="162">
      <c r="A162" s="61" t="n"/>
      <c r="B162" s="61" t="n"/>
    </row>
    <row r="163">
      <c r="A163" s="61" t="n"/>
      <c r="B163" s="61" t="n"/>
    </row>
    <row r="164">
      <c r="A164" s="61" t="n"/>
      <c r="B164" s="61" t="n"/>
    </row>
    <row r="165">
      <c r="A165" s="61" t="n"/>
      <c r="B165" s="61" t="n"/>
    </row>
    <row r="166">
      <c r="A166" s="61" t="n"/>
      <c r="B166" s="61" t="n"/>
    </row>
    <row r="167">
      <c r="A167" s="61" t="n"/>
      <c r="B167" s="61" t="n"/>
    </row>
    <row r="168">
      <c r="A168" s="61" t="n"/>
      <c r="B168" s="61" t="n"/>
    </row>
    <row r="169">
      <c r="A169" s="61" t="n"/>
      <c r="B169" s="61" t="n"/>
    </row>
    <row r="170">
      <c r="A170" s="61" t="n"/>
      <c r="B170" s="61" t="n"/>
    </row>
    <row r="171">
      <c r="A171" s="61" t="n"/>
      <c r="B171" s="61" t="n"/>
    </row>
    <row r="172">
      <c r="A172" s="61" t="n"/>
      <c r="B172" s="61" t="n"/>
    </row>
    <row r="173">
      <c r="A173" s="61" t="n"/>
      <c r="B173" s="61" t="n"/>
    </row>
    <row r="174">
      <c r="A174" s="61" t="n"/>
      <c r="B174" s="61" t="n"/>
    </row>
    <row r="175">
      <c r="A175" s="61" t="n"/>
      <c r="B175" s="61" t="n"/>
    </row>
    <row r="176">
      <c r="A176" s="61" t="n"/>
      <c r="B176" s="61" t="n"/>
    </row>
    <row r="177">
      <c r="A177" s="61" t="n"/>
      <c r="B177" s="61" t="n"/>
    </row>
    <row r="178">
      <c r="A178" s="61" t="n"/>
      <c r="B178" s="61" t="n"/>
    </row>
    <row r="179">
      <c r="A179" s="61" t="n"/>
      <c r="B179" s="61" t="n"/>
    </row>
    <row r="180">
      <c r="A180" s="61" t="n"/>
      <c r="B180" s="61" t="n"/>
    </row>
    <row r="181">
      <c r="A181" s="61" t="n"/>
      <c r="B181" s="61" t="n"/>
    </row>
    <row r="182">
      <c r="A182" s="61" t="n"/>
      <c r="B182" s="61" t="n"/>
    </row>
    <row r="183">
      <c r="A183" s="61" t="n"/>
      <c r="B183" s="61" t="n"/>
    </row>
    <row r="184">
      <c r="A184" s="61" t="n"/>
      <c r="B184" s="61" t="n"/>
    </row>
    <row r="185">
      <c r="A185" s="61" t="n"/>
      <c r="B185" s="61" t="n"/>
    </row>
    <row r="186">
      <c r="A186" s="61" t="n"/>
      <c r="B186" s="61" t="n"/>
    </row>
    <row r="187">
      <c r="A187" s="61" t="n"/>
      <c r="B187" s="61" t="n"/>
    </row>
    <row r="188">
      <c r="A188" s="61" t="n"/>
      <c r="B188" s="61" t="n"/>
    </row>
    <row r="189">
      <c r="A189" s="61" t="n"/>
      <c r="B189" s="61" t="n"/>
    </row>
    <row r="190">
      <c r="A190" s="61" t="n"/>
      <c r="B190" s="61" t="n"/>
    </row>
    <row r="191">
      <c r="A191" s="61" t="n"/>
      <c r="B191" s="61" t="n"/>
    </row>
    <row r="192">
      <c r="A192" s="61" t="n"/>
      <c r="B192" s="61" t="n"/>
    </row>
    <row r="193">
      <c r="A193" s="61" t="n"/>
      <c r="B193" s="61" t="n"/>
    </row>
    <row r="194">
      <c r="A194" s="61" t="n"/>
      <c r="B194" s="61" t="n"/>
    </row>
    <row r="195">
      <c r="A195" s="61" t="n"/>
      <c r="B195" s="61" t="n"/>
    </row>
    <row r="196">
      <c r="A196" s="61" t="n"/>
      <c r="B196" s="61" t="n"/>
    </row>
    <row r="197">
      <c r="A197" s="61" t="n"/>
      <c r="B197" s="61" t="n"/>
    </row>
    <row r="198">
      <c r="A198" s="61" t="n"/>
      <c r="B198" s="61" t="n"/>
    </row>
    <row r="199">
      <c r="A199" s="61" t="n"/>
      <c r="B199" s="61" t="n"/>
    </row>
    <row r="200">
      <c r="A200" s="61" t="n"/>
      <c r="B200" s="61" t="n"/>
    </row>
    <row r="201">
      <c r="A201" s="61" t="n"/>
      <c r="B201" s="61" t="n"/>
    </row>
    <row r="202">
      <c r="A202" s="61" t="n"/>
      <c r="B202" s="61" t="n"/>
    </row>
    <row r="203">
      <c r="A203" s="61" t="n"/>
      <c r="B203" s="61" t="n"/>
    </row>
    <row r="204">
      <c r="A204" s="61" t="n"/>
      <c r="B204" s="61" t="n"/>
    </row>
    <row r="205">
      <c r="A205" s="61" t="n"/>
      <c r="B205" s="61" t="n"/>
    </row>
    <row r="206">
      <c r="A206" s="61" t="n"/>
      <c r="B206" s="61" t="n"/>
    </row>
    <row r="207">
      <c r="A207" s="61" t="n"/>
      <c r="B207" s="61" t="n"/>
    </row>
    <row r="208">
      <c r="A208" s="61" t="n"/>
      <c r="B208" s="61" t="n"/>
    </row>
    <row r="209">
      <c r="A209" s="61" t="n"/>
      <c r="B209" s="61" t="n"/>
    </row>
    <row r="210">
      <c r="A210" s="61" t="n"/>
      <c r="B210" s="61" t="n"/>
    </row>
    <row r="211">
      <c r="A211" s="61" t="n"/>
      <c r="B211" s="61" t="n"/>
    </row>
    <row r="212">
      <c r="A212" s="61" t="n"/>
      <c r="B212" s="61" t="n"/>
    </row>
    <row r="213">
      <c r="A213" s="61" t="n"/>
      <c r="B213" s="61" t="n"/>
    </row>
    <row r="214">
      <c r="A214" s="61" t="n"/>
      <c r="B214" s="61" t="n"/>
    </row>
    <row r="215">
      <c r="A215" s="61" t="n"/>
      <c r="B215" s="61" t="n"/>
    </row>
    <row r="216">
      <c r="A216" s="61" t="n"/>
      <c r="B216" s="61" t="n"/>
    </row>
    <row r="217">
      <c r="A217" s="61" t="n"/>
      <c r="B217" s="61" t="n"/>
    </row>
    <row r="218">
      <c r="A218" s="61" t="n"/>
      <c r="B218" s="61" t="n"/>
    </row>
    <row r="219">
      <c r="A219" s="61" t="n"/>
      <c r="B219" s="61" t="n"/>
    </row>
    <row r="220">
      <c r="A220" s="61" t="n"/>
      <c r="B220" s="61" t="n"/>
    </row>
    <row r="221">
      <c r="A221" s="61" t="n"/>
      <c r="B221" s="61" t="n"/>
    </row>
    <row r="222">
      <c r="A222" s="61" t="n"/>
      <c r="B222" s="61" t="n"/>
    </row>
    <row r="223">
      <c r="A223" s="61" t="n"/>
      <c r="B223" s="61" t="n"/>
    </row>
    <row r="224">
      <c r="A224" s="61" t="n"/>
      <c r="B224" s="61" t="n"/>
    </row>
    <row r="225">
      <c r="A225" s="61" t="n"/>
      <c r="B225" s="61" t="n"/>
    </row>
    <row r="226">
      <c r="A226" s="61" t="n"/>
      <c r="B226" s="61" t="n"/>
    </row>
    <row r="227">
      <c r="A227" s="61" t="n"/>
      <c r="B227" s="61" t="n"/>
    </row>
    <row r="228">
      <c r="A228" s="61" t="n"/>
      <c r="B228" s="61" t="n"/>
    </row>
    <row r="229">
      <c r="A229" s="61" t="n"/>
      <c r="B229" s="61" t="n"/>
    </row>
    <row r="230">
      <c r="A230" s="61" t="n"/>
      <c r="B230" s="61" t="n"/>
    </row>
    <row r="231">
      <c r="A231" s="61" t="n"/>
      <c r="B231" s="61" t="n"/>
    </row>
    <row r="232">
      <c r="A232" s="61" t="n"/>
      <c r="B232" s="61" t="n"/>
    </row>
    <row r="233">
      <c r="A233" s="61" t="n"/>
      <c r="B233" s="61" t="n"/>
    </row>
    <row r="234">
      <c r="A234" s="61" t="n"/>
      <c r="B234" s="61" t="n"/>
    </row>
    <row r="235">
      <c r="A235" s="61" t="n"/>
      <c r="B235" s="61" t="n"/>
    </row>
    <row r="236">
      <c r="A236" s="61" t="n"/>
      <c r="B236" s="61" t="n"/>
    </row>
    <row r="237">
      <c r="A237" s="61" t="n"/>
      <c r="B237" s="61" t="n"/>
    </row>
    <row r="238">
      <c r="A238" s="61" t="n"/>
      <c r="B238" s="61" t="n"/>
    </row>
    <row r="239">
      <c r="A239" s="61" t="n"/>
      <c r="B239" s="61" t="n"/>
    </row>
    <row r="240">
      <c r="A240" s="61" t="n"/>
      <c r="B240" s="61" t="n"/>
    </row>
    <row r="241">
      <c r="A241" s="61" t="n"/>
      <c r="B241" s="61" t="n"/>
    </row>
    <row r="242">
      <c r="A242" s="61" t="n"/>
      <c r="B242" s="61" t="n"/>
    </row>
    <row r="243">
      <c r="A243" s="61" t="n"/>
      <c r="B243" s="61" t="n"/>
    </row>
    <row r="244">
      <c r="A244" s="61" t="n"/>
      <c r="B244" s="61" t="n"/>
    </row>
    <row r="245">
      <c r="A245" s="61" t="n"/>
      <c r="B245" s="61" t="n"/>
    </row>
    <row r="246">
      <c r="A246" s="61" t="n"/>
      <c r="B246" s="61" t="n"/>
    </row>
    <row r="247">
      <c r="A247" s="61" t="n"/>
      <c r="B247" s="61" t="n"/>
    </row>
    <row r="248">
      <c r="A248" s="61" t="n"/>
      <c r="B248" s="61" t="n"/>
    </row>
    <row r="249">
      <c r="A249" s="61" t="n"/>
      <c r="B249" s="61" t="n"/>
    </row>
    <row r="250">
      <c r="A250" s="61" t="n"/>
      <c r="B250" s="61" t="n"/>
    </row>
    <row r="251">
      <c r="A251" s="61" t="n"/>
      <c r="B251" s="61" t="n"/>
    </row>
    <row r="252">
      <c r="A252" s="61" t="n"/>
      <c r="B252" s="61" t="n"/>
    </row>
    <row r="253">
      <c r="A253" s="61" t="n"/>
      <c r="B253" s="61" t="n"/>
    </row>
    <row r="254">
      <c r="A254" s="61" t="n"/>
      <c r="B254" s="61" t="n"/>
    </row>
    <row r="255">
      <c r="A255" s="61" t="n"/>
      <c r="B255" s="61" t="n"/>
    </row>
    <row r="256">
      <c r="A256" s="61" t="n"/>
      <c r="B256" s="61" t="n"/>
    </row>
    <row r="257">
      <c r="A257" s="61" t="n"/>
      <c r="B257" s="61" t="n"/>
    </row>
    <row r="258">
      <c r="A258" s="61" t="n"/>
      <c r="B258" s="61" t="n"/>
    </row>
    <row r="259">
      <c r="A259" s="61" t="n"/>
      <c r="B259" s="61" t="n"/>
    </row>
    <row r="260">
      <c r="A260" s="61" t="n"/>
      <c r="B260" s="61" t="n"/>
    </row>
    <row r="261">
      <c r="A261" s="61" t="n"/>
      <c r="B261" s="61" t="n"/>
    </row>
    <row r="262">
      <c r="A262" s="61" t="n"/>
      <c r="B262" s="61" t="n"/>
    </row>
    <row r="263">
      <c r="A263" s="61" t="n"/>
      <c r="B263" s="61" t="n"/>
    </row>
    <row r="264">
      <c r="A264" s="61" t="n"/>
      <c r="B264" s="61" t="n"/>
    </row>
    <row r="265">
      <c r="A265" s="61" t="n"/>
      <c r="B265" s="61" t="n"/>
    </row>
    <row r="266">
      <c r="A266" s="61" t="n"/>
      <c r="B266" s="61" t="n"/>
    </row>
    <row r="267">
      <c r="A267" s="61" t="n"/>
      <c r="B267" s="61" t="n"/>
    </row>
    <row r="268">
      <c r="A268" s="61" t="n"/>
      <c r="B268" s="61" t="n"/>
    </row>
    <row r="269">
      <c r="A269" s="61" t="n"/>
      <c r="B269" s="61" t="n"/>
    </row>
    <row r="270">
      <c r="A270" s="61" t="n"/>
      <c r="B270" s="61" t="n"/>
    </row>
    <row r="271">
      <c r="A271" s="61" t="n"/>
      <c r="B271" s="61" t="n"/>
    </row>
    <row r="272">
      <c r="A272" s="61" t="n"/>
      <c r="B272" s="61" t="n"/>
    </row>
    <row r="273">
      <c r="A273" s="61" t="n"/>
      <c r="B273" s="61" t="n"/>
    </row>
    <row r="274">
      <c r="A274" s="61" t="n"/>
      <c r="B274" s="61" t="n"/>
    </row>
    <row r="275">
      <c r="A275" s="61" t="n"/>
      <c r="B275" s="61" t="n"/>
    </row>
    <row r="276">
      <c r="A276" s="61" t="n"/>
      <c r="B276" s="61" t="n"/>
    </row>
    <row r="277">
      <c r="A277" s="61" t="n"/>
      <c r="B277" s="61" t="n"/>
    </row>
    <row r="278">
      <c r="A278" s="61" t="n"/>
      <c r="B278" s="61" t="n"/>
    </row>
    <row r="279">
      <c r="A279" s="61" t="n"/>
      <c r="B279" s="61" t="n"/>
    </row>
    <row r="280">
      <c r="A280" s="61" t="n"/>
      <c r="B280" s="61" t="n"/>
    </row>
    <row r="281">
      <c r="A281" s="61" t="n"/>
      <c r="B281" s="61" t="n"/>
    </row>
    <row r="282">
      <c r="A282" s="61" t="n"/>
      <c r="B282" s="61" t="n"/>
    </row>
    <row r="283">
      <c r="A283" s="61" t="n"/>
      <c r="B283" s="61" t="n"/>
    </row>
    <row r="284">
      <c r="A284" s="61" t="n"/>
      <c r="B284" s="61" t="n"/>
    </row>
    <row r="285">
      <c r="A285" s="61" t="n"/>
      <c r="B285" s="61" t="n"/>
    </row>
    <row r="286">
      <c r="A286" s="61" t="n"/>
      <c r="B286" s="61" t="n"/>
    </row>
    <row r="287">
      <c r="A287" s="61" t="n"/>
      <c r="B287" s="61" t="n"/>
    </row>
    <row r="288">
      <c r="A288" s="61" t="n"/>
      <c r="B288" s="61" t="n"/>
    </row>
    <row r="289">
      <c r="A289" s="61" t="n"/>
      <c r="B289" s="61" t="n"/>
    </row>
    <row r="290">
      <c r="A290" s="61" t="n"/>
      <c r="B290" s="61" t="n"/>
    </row>
    <row r="291">
      <c r="A291" s="61" t="n"/>
      <c r="B291" s="61" t="n"/>
    </row>
    <row r="292">
      <c r="A292" s="61" t="n"/>
      <c r="B292" s="61" t="n"/>
    </row>
    <row r="293">
      <c r="A293" s="61" t="n"/>
      <c r="B293" s="61" t="n"/>
    </row>
    <row r="294">
      <c r="A294" s="61" t="n"/>
      <c r="B294" s="61" t="n"/>
    </row>
    <row r="295">
      <c r="A295" s="61" t="n"/>
      <c r="B295" s="61" t="n"/>
    </row>
    <row r="296">
      <c r="A296" s="61" t="n"/>
      <c r="B296" s="61" t="n"/>
    </row>
    <row r="297">
      <c r="A297" s="61" t="n"/>
      <c r="B297" s="61" t="n"/>
    </row>
    <row r="298">
      <c r="A298" s="61" t="n"/>
      <c r="B298" s="61" t="n"/>
    </row>
    <row r="299">
      <c r="A299" s="61" t="n"/>
      <c r="B299" s="61" t="n"/>
    </row>
    <row r="300">
      <c r="A300" s="61" t="n"/>
      <c r="B300" s="61" t="n"/>
    </row>
    <row r="301">
      <c r="A301" s="61" t="n"/>
      <c r="B301" s="61" t="n"/>
    </row>
    <row r="302">
      <c r="A302" s="61" t="n"/>
      <c r="B302" s="61" t="n"/>
    </row>
    <row r="303">
      <c r="A303" s="61" t="n"/>
      <c r="B303" s="61" t="n"/>
    </row>
    <row r="304">
      <c r="A304" s="61" t="n"/>
      <c r="B304" s="61" t="n"/>
    </row>
    <row r="305">
      <c r="A305" s="61" t="n"/>
      <c r="B305" s="61" t="n"/>
    </row>
    <row r="306">
      <c r="A306" s="61" t="n"/>
      <c r="B306" s="61" t="n"/>
    </row>
    <row r="307">
      <c r="A307" s="61" t="n"/>
      <c r="B307" s="61" t="n"/>
    </row>
    <row r="308">
      <c r="A308" s="61" t="n"/>
      <c r="B308" s="61" t="n"/>
    </row>
    <row r="309">
      <c r="A309" s="61" t="n"/>
      <c r="B309" s="61" t="n"/>
    </row>
    <row r="310">
      <c r="A310" s="61" t="n"/>
      <c r="B310" s="61" t="n"/>
    </row>
    <row r="311">
      <c r="A311" s="61" t="n"/>
      <c r="B311" s="61" t="n"/>
    </row>
    <row r="312">
      <c r="A312" s="61" t="n"/>
      <c r="B312" s="61" t="n"/>
    </row>
    <row r="313">
      <c r="A313" s="61" t="n"/>
      <c r="B313" s="61" t="n"/>
    </row>
    <row r="314">
      <c r="A314" s="61" t="n"/>
      <c r="B314" s="61" t="n"/>
    </row>
    <row r="315">
      <c r="A315" s="61" t="n"/>
      <c r="B315" s="61" t="n"/>
    </row>
    <row r="316">
      <c r="A316" s="61" t="n"/>
      <c r="B316" s="61" t="n"/>
    </row>
    <row r="317">
      <c r="A317" s="61" t="n"/>
      <c r="B317" s="61" t="n"/>
    </row>
    <row r="318">
      <c r="A318" s="61" t="n"/>
      <c r="B318" s="61" t="n"/>
    </row>
    <row r="319">
      <c r="A319" s="61" t="n"/>
      <c r="B319" s="61" t="n"/>
    </row>
    <row r="320">
      <c r="A320" s="61" t="n"/>
      <c r="B320" s="61" t="n"/>
    </row>
    <row r="321">
      <c r="A321" s="61" t="n"/>
      <c r="B321" s="61" t="n"/>
    </row>
    <row r="322">
      <c r="A322" s="61" t="n"/>
      <c r="B322" s="61" t="n"/>
    </row>
    <row r="323">
      <c r="A323" s="61" t="n"/>
      <c r="B323" s="61" t="n"/>
    </row>
    <row r="324">
      <c r="A324" s="61" t="n"/>
      <c r="B324" s="61" t="n"/>
    </row>
    <row r="325">
      <c r="A325" s="61" t="n"/>
      <c r="B325" s="61" t="n"/>
    </row>
    <row r="326">
      <c r="A326" s="61" t="n"/>
      <c r="B326" s="61" t="n"/>
    </row>
    <row r="327">
      <c r="A327" s="61" t="n"/>
      <c r="B327" s="61" t="n"/>
    </row>
    <row r="328">
      <c r="A328" s="61" t="n"/>
      <c r="B328" s="61" t="n"/>
    </row>
    <row r="329">
      <c r="A329" s="61" t="n"/>
      <c r="B329" s="61" t="n"/>
    </row>
    <row r="330">
      <c r="A330" s="61" t="n"/>
      <c r="B330" s="61" t="n"/>
    </row>
    <row r="331">
      <c r="A331" s="61" t="n"/>
      <c r="B331" s="61" t="n"/>
    </row>
    <row r="332">
      <c r="A332" s="61" t="n"/>
      <c r="B332" s="61" t="n"/>
    </row>
    <row r="333">
      <c r="A333" s="61" t="n"/>
      <c r="B333" s="61" t="n"/>
    </row>
    <row r="334">
      <c r="A334" s="61" t="n"/>
      <c r="B334" s="61" t="n"/>
    </row>
    <row r="335">
      <c r="A335" s="61" t="n"/>
      <c r="B335" s="61" t="n"/>
    </row>
    <row r="336">
      <c r="A336" s="61" t="n"/>
      <c r="B336" s="61" t="n"/>
    </row>
    <row r="337">
      <c r="A337" s="61" t="n"/>
      <c r="B337" s="61" t="n"/>
    </row>
    <row r="338">
      <c r="A338" s="61" t="n"/>
      <c r="B338" s="61" t="n"/>
    </row>
    <row r="339">
      <c r="A339" s="61" t="n"/>
      <c r="B339" s="61" t="n"/>
    </row>
    <row r="340">
      <c r="A340" s="61" t="n"/>
      <c r="B340" s="61" t="n"/>
    </row>
    <row r="341">
      <c r="A341" s="61" t="n"/>
      <c r="B341" s="61" t="n"/>
    </row>
    <row r="342">
      <c r="A342" s="61" t="n"/>
      <c r="B342" s="61" t="n"/>
    </row>
    <row r="343">
      <c r="A343" s="61" t="n"/>
      <c r="B343" s="61" t="n"/>
    </row>
    <row r="344">
      <c r="A344" s="61" t="n"/>
      <c r="B344" s="61" t="n"/>
    </row>
    <row r="345">
      <c r="A345" s="61" t="n"/>
      <c r="B345" s="61" t="n"/>
    </row>
    <row r="346">
      <c r="A346" s="61" t="n"/>
      <c r="B346" s="61" t="n"/>
    </row>
    <row r="347">
      <c r="A347" s="61" t="n"/>
      <c r="B347" s="61" t="n"/>
    </row>
    <row r="348">
      <c r="A348" s="61" t="n"/>
      <c r="B348" s="61" t="n"/>
    </row>
    <row r="349">
      <c r="A349" s="61" t="n"/>
      <c r="B349" s="61" t="n"/>
    </row>
    <row r="350">
      <c r="A350" s="61" t="n"/>
      <c r="B350" s="61" t="n"/>
    </row>
    <row r="351">
      <c r="A351" s="61" t="n"/>
      <c r="B351" s="61" t="n"/>
    </row>
    <row r="352">
      <c r="A352" s="61" t="n"/>
      <c r="B352" s="61" t="n"/>
    </row>
    <row r="353">
      <c r="A353" s="61" t="n"/>
      <c r="B353" s="61" t="n"/>
    </row>
    <row r="354">
      <c r="A354" s="61" t="n"/>
      <c r="B354" s="61" t="n"/>
    </row>
    <row r="355">
      <c r="A355" s="61" t="n"/>
      <c r="B355" s="61" t="n"/>
    </row>
    <row r="356">
      <c r="A356" s="61" t="n"/>
      <c r="B356" s="61" t="n"/>
    </row>
    <row r="357">
      <c r="A357" s="61" t="n"/>
      <c r="B357" s="61" t="n"/>
    </row>
    <row r="358">
      <c r="A358" s="61" t="n"/>
      <c r="B358" s="61" t="n"/>
    </row>
    <row r="359">
      <c r="A359" s="61" t="n"/>
      <c r="B359" s="61" t="n"/>
    </row>
    <row r="360">
      <c r="A360" s="61" t="n"/>
      <c r="B360" s="61" t="n"/>
    </row>
    <row r="361">
      <c r="A361" s="61" t="n"/>
      <c r="B361" s="61" t="n"/>
    </row>
    <row r="362">
      <c r="A362" s="61" t="n"/>
      <c r="B362" s="61" t="n"/>
    </row>
    <row r="363">
      <c r="A363" s="61" t="n"/>
      <c r="B363" s="61" t="n"/>
    </row>
    <row r="364">
      <c r="A364" s="61" t="n"/>
      <c r="B364" s="61" t="n"/>
    </row>
    <row r="365">
      <c r="A365" s="61" t="n"/>
      <c r="B365" s="61" t="n"/>
    </row>
    <row r="366">
      <c r="A366" s="61" t="n"/>
      <c r="B366" s="61" t="n"/>
    </row>
    <row r="367">
      <c r="A367" s="61" t="n"/>
      <c r="B367" s="61" t="n"/>
    </row>
    <row r="368">
      <c r="A368" s="61" t="n"/>
      <c r="B368" s="61" t="n"/>
    </row>
    <row r="369">
      <c r="A369" s="61" t="n"/>
      <c r="B369" s="61" t="n"/>
    </row>
    <row r="370">
      <c r="A370" s="61" t="n"/>
      <c r="B370" s="61" t="n"/>
    </row>
    <row r="371">
      <c r="A371" s="61" t="n"/>
      <c r="B371" s="61" t="n"/>
    </row>
    <row r="372">
      <c r="A372" s="61" t="n"/>
      <c r="B372" s="61" t="n"/>
    </row>
    <row r="373">
      <c r="A373" s="61" t="n"/>
      <c r="B373" s="61" t="n"/>
    </row>
    <row r="374">
      <c r="A374" s="61" t="n"/>
      <c r="B374" s="61" t="n"/>
    </row>
    <row r="375">
      <c r="A375" s="61" t="n"/>
      <c r="B375" s="61" t="n"/>
    </row>
    <row r="376">
      <c r="A376" s="61" t="n"/>
      <c r="B376" s="61" t="n"/>
    </row>
    <row r="377">
      <c r="A377" s="61" t="n"/>
      <c r="B377" s="61" t="n"/>
    </row>
    <row r="378">
      <c r="A378" s="61" t="n"/>
      <c r="B378" s="61" t="n"/>
    </row>
    <row r="379">
      <c r="A379" s="61" t="n"/>
      <c r="B379" s="61" t="n"/>
    </row>
    <row r="380">
      <c r="A380" s="61" t="n"/>
      <c r="B380" s="61" t="n"/>
    </row>
    <row r="381">
      <c r="A381" s="61" t="n"/>
      <c r="B381" s="61" t="n"/>
    </row>
    <row r="382">
      <c r="A382" s="61" t="n"/>
      <c r="B382" s="61" t="n"/>
    </row>
    <row r="383">
      <c r="A383" s="61" t="n"/>
      <c r="B383" s="61" t="n"/>
    </row>
    <row r="384">
      <c r="A384" s="61" t="n"/>
      <c r="B384" s="61" t="n"/>
    </row>
    <row r="385">
      <c r="A385" s="61" t="n"/>
      <c r="B385" s="61" t="n"/>
    </row>
    <row r="386">
      <c r="A386" s="61" t="n"/>
      <c r="B386" s="61" t="n"/>
    </row>
    <row r="387">
      <c r="A387" s="61" t="n"/>
      <c r="B387" s="61" t="n"/>
    </row>
    <row r="388">
      <c r="A388" s="61" t="n"/>
      <c r="B388" s="61" t="n"/>
    </row>
    <row r="389">
      <c r="A389" s="61" t="n"/>
      <c r="B389" s="61" t="n"/>
    </row>
    <row r="390">
      <c r="A390" s="61" t="n"/>
      <c r="B390" s="61" t="n"/>
    </row>
    <row r="391">
      <c r="A391" s="61" t="n"/>
      <c r="B391" s="61" t="n"/>
    </row>
    <row r="392">
      <c r="A392" s="61" t="n"/>
      <c r="B392" s="61" t="n"/>
    </row>
    <row r="393">
      <c r="A393" s="61" t="n"/>
      <c r="B393" s="61" t="n"/>
    </row>
    <row r="394">
      <c r="A394" s="61" t="n"/>
      <c r="B394" s="61" t="n"/>
    </row>
    <row r="395">
      <c r="A395" s="61" t="n"/>
      <c r="B395" s="61" t="n"/>
    </row>
    <row r="396">
      <c r="A396" s="61" t="n"/>
      <c r="B396" s="61" t="n"/>
    </row>
    <row r="397">
      <c r="A397" s="61" t="n"/>
      <c r="B397" s="61" t="n"/>
    </row>
    <row r="398">
      <c r="A398" s="61" t="n"/>
      <c r="B398" s="61" t="n"/>
    </row>
    <row r="399">
      <c r="A399" s="61" t="n"/>
      <c r="B399" s="61" t="n"/>
    </row>
    <row r="400">
      <c r="A400" s="61" t="n"/>
      <c r="B400" s="61" t="n"/>
    </row>
    <row r="401">
      <c r="A401" s="61" t="n"/>
      <c r="B401" s="61" t="n"/>
    </row>
    <row r="402">
      <c r="A402" s="61" t="n"/>
      <c r="B402" s="61" t="n"/>
    </row>
    <row r="403">
      <c r="A403" s="61" t="n"/>
      <c r="B403" s="61" t="n"/>
    </row>
    <row r="404">
      <c r="A404" s="61" t="n"/>
      <c r="B404" s="61" t="n"/>
    </row>
    <row r="405">
      <c r="A405" s="61" t="n"/>
      <c r="B405" s="61" t="n"/>
    </row>
    <row r="406">
      <c r="A406" s="61" t="n"/>
      <c r="B406" s="61" t="n"/>
    </row>
    <row r="407">
      <c r="A407" s="61" t="n"/>
      <c r="B407" s="61" t="n"/>
    </row>
    <row r="408">
      <c r="A408" s="61" t="n"/>
      <c r="B408" s="61" t="n"/>
    </row>
    <row r="409">
      <c r="A409" s="61" t="n"/>
      <c r="B409" s="61" t="n"/>
    </row>
    <row r="410">
      <c r="A410" s="61" t="n"/>
      <c r="B410" s="61" t="n"/>
    </row>
    <row r="411">
      <c r="A411" s="61" t="n"/>
      <c r="B411" s="61" t="n"/>
    </row>
    <row r="412">
      <c r="A412" s="61" t="n"/>
      <c r="B412" s="61" t="n"/>
    </row>
    <row r="413">
      <c r="A413" s="61" t="n"/>
      <c r="B413" s="61" t="n"/>
    </row>
    <row r="414">
      <c r="A414" s="61" t="n"/>
      <c r="B414" s="61" t="n"/>
    </row>
    <row r="415">
      <c r="A415" s="61" t="n"/>
      <c r="B415" s="61" t="n"/>
    </row>
    <row r="416">
      <c r="A416" s="61" t="n"/>
      <c r="B416" s="61" t="n"/>
    </row>
    <row r="417">
      <c r="A417" s="61" t="n"/>
      <c r="B417" s="61" t="n"/>
    </row>
    <row r="418">
      <c r="A418" s="61" t="n"/>
      <c r="B418" s="61" t="n"/>
    </row>
    <row r="419">
      <c r="A419" s="61" t="n"/>
      <c r="B419" s="61" t="n"/>
    </row>
    <row r="420">
      <c r="A420" s="61" t="n"/>
      <c r="B420" s="61" t="n"/>
    </row>
    <row r="421">
      <c r="A421" s="61" t="n"/>
      <c r="B421" s="61" t="n"/>
    </row>
    <row r="422">
      <c r="A422" s="61" t="n"/>
      <c r="B422" s="61" t="n"/>
    </row>
    <row r="423">
      <c r="A423" s="61" t="n"/>
      <c r="B423" s="61" t="n"/>
    </row>
    <row r="424">
      <c r="A424" s="61" t="n"/>
      <c r="B424" s="61" t="n"/>
    </row>
    <row r="425">
      <c r="A425" s="61" t="n"/>
      <c r="B425" s="61" t="n"/>
    </row>
    <row r="426">
      <c r="A426" s="61" t="n"/>
      <c r="B426" s="61" t="n"/>
    </row>
    <row r="427">
      <c r="A427" s="61" t="n"/>
      <c r="B427" s="61" t="n"/>
    </row>
    <row r="428">
      <c r="A428" s="61" t="n"/>
      <c r="B428" s="61" t="n"/>
    </row>
    <row r="429">
      <c r="A429" s="61" t="n"/>
      <c r="B429" s="61" t="n"/>
    </row>
    <row r="430">
      <c r="A430" s="61" t="n"/>
      <c r="B430" s="61" t="n"/>
    </row>
    <row r="431">
      <c r="A431" s="61" t="n"/>
      <c r="B431" s="61" t="n"/>
    </row>
    <row r="432">
      <c r="A432" s="61" t="n"/>
      <c r="B432" s="61" t="n"/>
    </row>
    <row r="433">
      <c r="A433" s="61" t="n"/>
      <c r="B433" s="61" t="n"/>
    </row>
    <row r="434">
      <c r="A434" s="61" t="n"/>
      <c r="B434" s="61" t="n"/>
    </row>
    <row r="435">
      <c r="A435" s="61" t="n"/>
      <c r="B435" s="61" t="n"/>
    </row>
    <row r="436">
      <c r="A436" s="61" t="n"/>
      <c r="B436" s="61" t="n"/>
    </row>
    <row r="437">
      <c r="A437" s="61" t="n"/>
      <c r="B437" s="61" t="n"/>
    </row>
    <row r="438">
      <c r="A438" s="61" t="n"/>
      <c r="B438" s="61" t="n"/>
    </row>
    <row r="439">
      <c r="A439" s="61" t="n"/>
      <c r="B439" s="61" t="n"/>
    </row>
    <row r="440">
      <c r="A440" s="61" t="n"/>
      <c r="B440" s="61" t="n"/>
    </row>
    <row r="441">
      <c r="A441" s="61" t="n"/>
      <c r="B441" s="61" t="n"/>
    </row>
    <row r="442">
      <c r="A442" s="61" t="n"/>
      <c r="B442" s="61" t="n"/>
    </row>
    <row r="443">
      <c r="A443" s="61" t="n"/>
      <c r="B443" s="61" t="n"/>
    </row>
    <row r="444">
      <c r="A444" s="61" t="n"/>
      <c r="B444" s="61" t="n"/>
    </row>
    <row r="445">
      <c r="A445" s="61" t="n"/>
      <c r="B445" s="61" t="n"/>
    </row>
    <row r="446">
      <c r="A446" s="61" t="n"/>
      <c r="B446" s="61" t="n"/>
    </row>
    <row r="447">
      <c r="A447" s="61" t="n"/>
      <c r="B447" s="61" t="n"/>
    </row>
    <row r="448">
      <c r="A448" s="61" t="n"/>
      <c r="B448" s="61" t="n"/>
    </row>
    <row r="449">
      <c r="A449" s="61" t="n"/>
      <c r="B449" s="61" t="n"/>
    </row>
    <row r="450">
      <c r="A450" s="61" t="n"/>
      <c r="B450" s="61" t="n"/>
    </row>
    <row r="451">
      <c r="A451" s="61" t="n"/>
      <c r="B451" s="61" t="n"/>
    </row>
    <row r="452">
      <c r="A452" s="61" t="n"/>
      <c r="B452" s="61" t="n"/>
    </row>
    <row r="453">
      <c r="A453" s="61" t="n"/>
      <c r="B453" s="61" t="n"/>
    </row>
    <row r="454">
      <c r="A454" s="61" t="n"/>
      <c r="B454" s="61" t="n"/>
    </row>
    <row r="455">
      <c r="A455" s="61" t="n"/>
      <c r="B455" s="61" t="n"/>
    </row>
    <row r="456">
      <c r="A456" s="61" t="n"/>
      <c r="B456" s="61" t="n"/>
    </row>
    <row r="457">
      <c r="A457" s="61" t="n"/>
      <c r="B457" s="61" t="n"/>
    </row>
    <row r="458">
      <c r="A458" s="61" t="n"/>
      <c r="B458" s="61" t="n"/>
    </row>
    <row r="459">
      <c r="A459" s="61" t="n"/>
      <c r="B459" s="61" t="n"/>
    </row>
    <row r="460">
      <c r="A460" s="61" t="n"/>
      <c r="B460" s="61" t="n"/>
    </row>
    <row r="461">
      <c r="A461" s="61" t="n"/>
      <c r="B461" s="61" t="n"/>
    </row>
    <row r="462">
      <c r="A462" s="61" t="n"/>
      <c r="B462" s="61" t="n"/>
    </row>
    <row r="463">
      <c r="A463" s="61" t="n"/>
      <c r="B463" s="61" t="n"/>
    </row>
    <row r="464">
      <c r="A464" s="61" t="n"/>
      <c r="B464" s="61" t="n"/>
    </row>
    <row r="465">
      <c r="A465" s="61" t="n"/>
      <c r="B465" s="61" t="n"/>
    </row>
    <row r="466">
      <c r="A466" s="61" t="n"/>
      <c r="B466" s="61" t="n"/>
    </row>
    <row r="467">
      <c r="A467" s="61" t="n"/>
      <c r="B467" s="61" t="n"/>
    </row>
    <row r="468">
      <c r="A468" s="61" t="n"/>
      <c r="B468" s="61" t="n"/>
    </row>
    <row r="469">
      <c r="A469" s="61" t="n"/>
      <c r="B469" s="61" t="n"/>
    </row>
    <row r="470">
      <c r="A470" s="61" t="n"/>
      <c r="B470" s="61" t="n"/>
    </row>
    <row r="471">
      <c r="A471" s="61" t="n"/>
      <c r="B471" s="61" t="n"/>
    </row>
    <row r="472">
      <c r="A472" s="61" t="n"/>
      <c r="B472" s="61" t="n"/>
    </row>
    <row r="473">
      <c r="A473" s="61" t="n"/>
      <c r="B473" s="61" t="n"/>
    </row>
    <row r="474">
      <c r="A474" s="61" t="n"/>
      <c r="B474" s="61" t="n"/>
    </row>
    <row r="475">
      <c r="A475" s="61" t="n"/>
      <c r="B475" s="61" t="n"/>
    </row>
    <row r="476">
      <c r="A476" s="61" t="n"/>
      <c r="B476" s="61" t="n"/>
    </row>
    <row r="477">
      <c r="A477" s="61" t="n"/>
      <c r="B477" s="61" t="n"/>
    </row>
    <row r="478">
      <c r="A478" s="61" t="n"/>
      <c r="B478" s="61" t="n"/>
    </row>
    <row r="479">
      <c r="A479" s="61" t="n"/>
      <c r="B479" s="61" t="n"/>
    </row>
    <row r="480">
      <c r="A480" s="61" t="n"/>
      <c r="B480" s="61" t="n"/>
    </row>
    <row r="481">
      <c r="A481" s="61" t="n"/>
      <c r="B481" s="61" t="n"/>
    </row>
    <row r="482">
      <c r="A482" s="61" t="n"/>
      <c r="B482" s="61" t="n"/>
    </row>
    <row r="483">
      <c r="A483" s="61" t="n"/>
      <c r="B483" s="61" t="n"/>
    </row>
    <row r="484">
      <c r="A484" s="61" t="n"/>
      <c r="B484" s="61" t="n"/>
    </row>
    <row r="485">
      <c r="A485" s="61" t="n"/>
      <c r="B485" s="61" t="n"/>
    </row>
    <row r="486">
      <c r="A486" s="61" t="n"/>
      <c r="B486" s="61" t="n"/>
    </row>
    <row r="487">
      <c r="A487" s="61" t="n"/>
      <c r="B487" s="61" t="n"/>
    </row>
    <row r="488">
      <c r="A488" s="61" t="n"/>
      <c r="B488" s="61" t="n"/>
    </row>
    <row r="489">
      <c r="A489" s="61" t="n"/>
      <c r="B489" s="61" t="n"/>
    </row>
    <row r="490">
      <c r="A490" s="61" t="n"/>
      <c r="B490" s="61" t="n"/>
    </row>
    <row r="491">
      <c r="A491" s="61" t="n"/>
      <c r="B491" s="61" t="n"/>
    </row>
    <row r="492">
      <c r="A492" s="61" t="n"/>
      <c r="B492" s="61" t="n"/>
    </row>
    <row r="493">
      <c r="A493" s="61" t="n"/>
      <c r="B493" s="61" t="n"/>
    </row>
    <row r="494">
      <c r="A494" s="61" t="n"/>
      <c r="B494" s="61" t="n"/>
    </row>
    <row r="495">
      <c r="A495" s="61" t="n"/>
      <c r="B495" s="61" t="n"/>
    </row>
    <row r="496">
      <c r="A496" s="61" t="n"/>
      <c r="B496" s="61" t="n"/>
    </row>
    <row r="497">
      <c r="A497" s="61" t="n"/>
      <c r="B497" s="61" t="n"/>
    </row>
    <row r="498">
      <c r="A498" s="61" t="n"/>
      <c r="B498" s="61" t="n"/>
    </row>
    <row r="499">
      <c r="A499" s="61" t="n"/>
      <c r="B499" s="61" t="n"/>
    </row>
    <row r="500">
      <c r="A500" s="61" t="n"/>
      <c r="B500" s="61" t="n"/>
    </row>
    <row r="501">
      <c r="A501" s="61" t="n"/>
      <c r="B501" s="61" t="n"/>
    </row>
    <row r="502">
      <c r="A502" s="61" t="n"/>
      <c r="B502" s="61" t="n"/>
    </row>
    <row r="503">
      <c r="A503" s="61" t="n"/>
      <c r="B503" s="61" t="n"/>
    </row>
    <row r="504">
      <c r="A504" s="61" t="n"/>
      <c r="B504" s="61" t="n"/>
    </row>
    <row r="505">
      <c r="A505" s="61" t="n"/>
      <c r="B505" s="61" t="n"/>
    </row>
    <row r="506">
      <c r="A506" s="61" t="n"/>
      <c r="B506" s="61" t="n"/>
    </row>
    <row r="507">
      <c r="A507" s="61" t="n"/>
      <c r="B507" s="61" t="n"/>
    </row>
    <row r="508">
      <c r="A508" s="61" t="n"/>
      <c r="B508" s="61" t="n"/>
    </row>
    <row r="509">
      <c r="A509" s="61" t="n"/>
      <c r="B509" s="61" t="n"/>
    </row>
    <row r="510">
      <c r="A510" s="61" t="n"/>
      <c r="B510" s="61" t="n"/>
    </row>
    <row r="511">
      <c r="A511" s="61" t="n"/>
      <c r="B511" s="61" t="n"/>
    </row>
    <row r="512">
      <c r="A512" s="61" t="n"/>
      <c r="B512" s="61" t="n"/>
    </row>
    <row r="513">
      <c r="A513" s="61" t="n"/>
      <c r="B513" s="61" t="n"/>
    </row>
    <row r="514">
      <c r="A514" s="61" t="n"/>
      <c r="B514" s="61" t="n"/>
    </row>
    <row r="515">
      <c r="A515" s="61" t="n"/>
      <c r="B515" s="61" t="n"/>
    </row>
    <row r="516">
      <c r="A516" s="61" t="n"/>
      <c r="B516" s="61" t="n"/>
    </row>
    <row r="517">
      <c r="A517" s="61" t="n"/>
      <c r="B517" s="61" t="n"/>
    </row>
    <row r="518">
      <c r="A518" s="61" t="n"/>
      <c r="B518" s="61" t="n"/>
    </row>
    <row r="519">
      <c r="A519" s="61" t="n"/>
      <c r="B519" s="61" t="n"/>
    </row>
    <row r="520">
      <c r="A520" s="61" t="n"/>
      <c r="B520" s="61" t="n"/>
    </row>
    <row r="521">
      <c r="A521" s="61" t="n"/>
      <c r="B521" s="61" t="n"/>
    </row>
    <row r="522">
      <c r="A522" s="61" t="n"/>
      <c r="B522" s="61" t="n"/>
    </row>
    <row r="523">
      <c r="A523" s="61" t="n"/>
      <c r="B523" s="61" t="n"/>
    </row>
    <row r="524">
      <c r="A524" s="61" t="n"/>
      <c r="B524" s="61" t="n"/>
    </row>
    <row r="525">
      <c r="A525" s="61" t="n"/>
      <c r="B525" s="61" t="n"/>
    </row>
    <row r="526">
      <c r="A526" s="61" t="n"/>
      <c r="B526" s="61" t="n"/>
    </row>
    <row r="527">
      <c r="A527" s="61" t="n"/>
      <c r="B527" s="61" t="n"/>
    </row>
    <row r="528">
      <c r="A528" s="61" t="n"/>
      <c r="B528" s="61" t="n"/>
    </row>
    <row r="529">
      <c r="A529" s="61" t="n"/>
      <c r="B529" s="61" t="n"/>
    </row>
    <row r="530">
      <c r="A530" s="61" t="n"/>
      <c r="B530" s="61" t="n"/>
    </row>
    <row r="531">
      <c r="A531" s="61" t="n"/>
      <c r="B531" s="61" t="n"/>
    </row>
    <row r="532">
      <c r="A532" s="61" t="n"/>
      <c r="B532" s="61" t="n"/>
    </row>
    <row r="533">
      <c r="A533" s="61" t="n"/>
      <c r="B533" s="61" t="n"/>
    </row>
    <row r="534">
      <c r="A534" s="61" t="n"/>
      <c r="B534" s="61" t="n"/>
    </row>
    <row r="535">
      <c r="A535" s="61" t="n"/>
      <c r="B535" s="61" t="n"/>
    </row>
    <row r="536">
      <c r="A536" s="61" t="n"/>
      <c r="B536" s="61" t="n"/>
    </row>
    <row r="537">
      <c r="A537" s="61" t="n"/>
      <c r="B537" s="61" t="n"/>
    </row>
    <row r="538">
      <c r="A538" s="61" t="n"/>
      <c r="B538" s="61" t="n"/>
    </row>
    <row r="539">
      <c r="A539" s="61" t="n"/>
      <c r="B539" s="61" t="n"/>
    </row>
    <row r="540">
      <c r="A540" s="61" t="n"/>
      <c r="B540" s="61" t="n"/>
    </row>
    <row r="541">
      <c r="A541" s="61" t="n"/>
      <c r="B541" s="61" t="n"/>
    </row>
    <row r="542">
      <c r="A542" s="61" t="n"/>
      <c r="B542" s="61" t="n"/>
    </row>
    <row r="543">
      <c r="A543" s="61" t="n"/>
      <c r="B543" s="61" t="n"/>
    </row>
    <row r="544">
      <c r="A544" s="61" t="n"/>
      <c r="B544" s="61" t="n"/>
    </row>
    <row r="545">
      <c r="A545" s="61" t="n"/>
      <c r="B545" s="61" t="n"/>
    </row>
    <row r="546">
      <c r="A546" s="61" t="n"/>
      <c r="B546" s="61" t="n"/>
    </row>
    <row r="547">
      <c r="A547" s="61" t="n"/>
      <c r="B547" s="61" t="n"/>
    </row>
    <row r="548">
      <c r="A548" s="61" t="n"/>
      <c r="B548" s="61" t="n"/>
    </row>
    <row r="549">
      <c r="A549" s="61" t="n"/>
      <c r="B549" s="61" t="n"/>
    </row>
    <row r="550">
      <c r="A550" s="61" t="n"/>
      <c r="B550" s="61" t="n"/>
    </row>
    <row r="551">
      <c r="A551" s="61" t="n"/>
      <c r="B551" s="61" t="n"/>
    </row>
    <row r="552">
      <c r="A552" s="61" t="n"/>
      <c r="B552" s="61" t="n"/>
    </row>
    <row r="553">
      <c r="A553" s="61" t="n"/>
      <c r="B553" s="61" t="n"/>
    </row>
    <row r="554">
      <c r="A554" s="61" t="n"/>
      <c r="B554" s="61" t="n"/>
    </row>
    <row r="555">
      <c r="A555" s="61" t="n"/>
      <c r="B555" s="61" t="n"/>
    </row>
    <row r="556">
      <c r="A556" s="61" t="n"/>
      <c r="B556" s="61" t="n"/>
    </row>
    <row r="557">
      <c r="A557" s="61" t="n"/>
      <c r="B557" s="61" t="n"/>
    </row>
    <row r="558">
      <c r="A558" s="61" t="n"/>
      <c r="B558" s="61" t="n"/>
    </row>
    <row r="559">
      <c r="A559" s="61" t="n"/>
      <c r="B559" s="61" t="n"/>
    </row>
    <row r="560">
      <c r="A560" s="61" t="n"/>
      <c r="B560" s="61" t="n"/>
    </row>
    <row r="561">
      <c r="A561" s="61" t="n"/>
      <c r="B561" s="61" t="n"/>
    </row>
    <row r="562">
      <c r="A562" s="61" t="n"/>
      <c r="B562" s="61" t="n"/>
    </row>
    <row r="563">
      <c r="A563" s="61" t="n"/>
      <c r="B563" s="61" t="n"/>
    </row>
    <row r="564">
      <c r="A564" s="61" t="n"/>
      <c r="B564" s="61" t="n"/>
    </row>
    <row r="565">
      <c r="A565" s="61" t="n"/>
      <c r="B565" s="61" t="n"/>
    </row>
    <row r="566">
      <c r="A566" s="61" t="n"/>
      <c r="B566" s="61" t="n"/>
    </row>
    <row r="567">
      <c r="A567" s="61" t="n"/>
      <c r="B567" s="61" t="n"/>
    </row>
    <row r="568">
      <c r="A568" s="61" t="n"/>
      <c r="B568" s="61" t="n"/>
    </row>
    <row r="569">
      <c r="A569" s="61" t="n"/>
      <c r="B569" s="61" t="n"/>
    </row>
    <row r="570">
      <c r="A570" s="61" t="n"/>
      <c r="B570" s="61" t="n"/>
    </row>
    <row r="571">
      <c r="A571" s="61" t="n"/>
      <c r="B571" s="61" t="n"/>
    </row>
    <row r="572">
      <c r="A572" s="61" t="n"/>
      <c r="B572" s="61" t="n"/>
    </row>
    <row r="573">
      <c r="A573" s="61" t="n"/>
      <c r="B573" s="61" t="n"/>
    </row>
    <row r="574">
      <c r="A574" s="61" t="n"/>
      <c r="B574" s="61" t="n"/>
    </row>
    <row r="575">
      <c r="A575" s="61" t="n"/>
      <c r="B575" s="61" t="n"/>
    </row>
    <row r="576">
      <c r="A576" s="61" t="n"/>
      <c r="B576" s="61" t="n"/>
    </row>
    <row r="577">
      <c r="A577" s="61" t="n"/>
      <c r="B577" s="61" t="n"/>
    </row>
    <row r="578">
      <c r="A578" s="61" t="n"/>
      <c r="B578" s="61" t="n"/>
    </row>
    <row r="579">
      <c r="A579" s="61" t="n"/>
      <c r="B579" s="61" t="n"/>
    </row>
    <row r="580">
      <c r="A580" s="61" t="n"/>
      <c r="B580" s="61" t="n"/>
    </row>
    <row r="581">
      <c r="A581" s="61" t="n"/>
      <c r="B581" s="61" t="n"/>
    </row>
    <row r="582">
      <c r="A582" s="61" t="n"/>
      <c r="B582" s="61" t="n"/>
    </row>
    <row r="583">
      <c r="A583" s="61" t="n"/>
      <c r="B583" s="61" t="n"/>
    </row>
    <row r="584">
      <c r="A584" s="61" t="n"/>
      <c r="B584" s="61" t="n"/>
    </row>
    <row r="585">
      <c r="A585" s="61" t="n"/>
      <c r="B585" s="61" t="n"/>
    </row>
    <row r="586">
      <c r="A586" s="61" t="n"/>
      <c r="B586" s="61" t="n"/>
    </row>
    <row r="587">
      <c r="A587" s="61" t="n"/>
      <c r="B587" s="61" t="n"/>
    </row>
    <row r="588">
      <c r="A588" s="61" t="n"/>
      <c r="B588" s="61" t="n"/>
    </row>
    <row r="589">
      <c r="A589" s="61" t="n"/>
      <c r="B589" s="61" t="n"/>
    </row>
    <row r="590">
      <c r="A590" s="61" t="n"/>
      <c r="B590" s="61" t="n"/>
    </row>
    <row r="591">
      <c r="A591" s="61" t="n"/>
      <c r="B591" s="61" t="n"/>
    </row>
    <row r="592">
      <c r="A592" s="61" t="n"/>
      <c r="B592" s="61" t="n"/>
    </row>
    <row r="593">
      <c r="A593" s="61" t="n"/>
      <c r="B593" s="61" t="n"/>
    </row>
    <row r="594">
      <c r="A594" s="61" t="n"/>
      <c r="B594" s="61" t="n"/>
    </row>
    <row r="595">
      <c r="A595" s="61" t="n"/>
      <c r="B595" s="61" t="n"/>
    </row>
    <row r="596">
      <c r="A596" s="61" t="n"/>
      <c r="B596" s="61" t="n"/>
    </row>
    <row r="597">
      <c r="A597" s="61" t="n"/>
      <c r="B597" s="61" t="n"/>
    </row>
    <row r="598">
      <c r="A598" s="61" t="n"/>
      <c r="B598" s="61" t="n"/>
    </row>
    <row r="599">
      <c r="A599" s="61" t="n"/>
      <c r="B599" s="61" t="n"/>
    </row>
    <row r="600">
      <c r="A600" s="61" t="n"/>
      <c r="B600" s="61" t="n"/>
    </row>
    <row r="601">
      <c r="A601" s="61" t="n"/>
      <c r="B601" s="61" t="n"/>
    </row>
    <row r="602">
      <c r="A602" s="61" t="n"/>
      <c r="B602" s="61" t="n"/>
    </row>
    <row r="603">
      <c r="A603" s="61" t="n"/>
      <c r="B603" s="61" t="n"/>
    </row>
    <row r="604">
      <c r="A604" s="61" t="n"/>
      <c r="B604" s="61" t="n"/>
    </row>
    <row r="605">
      <c r="A605" s="61" t="n"/>
      <c r="B605" s="61" t="n"/>
    </row>
    <row r="606">
      <c r="A606" s="61" t="n"/>
      <c r="B606" s="61" t="n"/>
    </row>
    <row r="607">
      <c r="A607" s="61" t="n"/>
      <c r="B607" s="61" t="n"/>
    </row>
    <row r="608">
      <c r="A608" s="61" t="n"/>
      <c r="B608" s="61" t="n"/>
    </row>
    <row r="609">
      <c r="A609" s="61" t="n"/>
      <c r="B609" s="61" t="n"/>
    </row>
    <row r="610">
      <c r="A610" s="61" t="n"/>
      <c r="B610" s="61" t="n"/>
    </row>
    <row r="611">
      <c r="A611" s="61" t="n"/>
      <c r="B611" s="61" t="n"/>
    </row>
    <row r="612">
      <c r="A612" s="61" t="n"/>
      <c r="B612" s="61" t="n"/>
    </row>
    <row r="613">
      <c r="A613" s="61" t="n"/>
      <c r="B613" s="61" t="n"/>
    </row>
    <row r="614">
      <c r="A614" s="61" t="n"/>
      <c r="B614" s="61" t="n"/>
    </row>
    <row r="615">
      <c r="A615" s="61" t="n"/>
      <c r="B615" s="61" t="n"/>
    </row>
    <row r="616">
      <c r="A616" s="61" t="n"/>
      <c r="B616" s="61" t="n"/>
    </row>
    <row r="617">
      <c r="A617" s="61" t="n"/>
      <c r="B617" s="61" t="n"/>
    </row>
    <row r="618">
      <c r="A618" s="61" t="n"/>
      <c r="B618" s="61" t="n"/>
    </row>
    <row r="619">
      <c r="A619" s="61" t="n"/>
      <c r="B619" s="61" t="n"/>
    </row>
    <row r="620">
      <c r="A620" s="61" t="n"/>
      <c r="B620" s="61" t="n"/>
    </row>
    <row r="621">
      <c r="A621" s="61" t="n"/>
      <c r="B621" s="61" t="n"/>
    </row>
    <row r="622">
      <c r="A622" s="61" t="n"/>
      <c r="B622" s="61" t="n"/>
    </row>
    <row r="623">
      <c r="A623" s="61" t="n"/>
      <c r="B623" s="61" t="n"/>
    </row>
    <row r="624">
      <c r="A624" s="61" t="n"/>
      <c r="B624" s="61" t="n"/>
    </row>
    <row r="625">
      <c r="A625" s="61" t="n"/>
      <c r="B625" s="61" t="n"/>
    </row>
    <row r="626">
      <c r="A626" s="61" t="n"/>
      <c r="B626" s="61" t="n"/>
    </row>
    <row r="627">
      <c r="A627" s="61" t="n"/>
      <c r="B627" s="61" t="n"/>
    </row>
    <row r="628">
      <c r="A628" s="61" t="n"/>
      <c r="B628" s="61" t="n"/>
    </row>
    <row r="629">
      <c r="A629" s="61" t="n"/>
      <c r="B629" s="61" t="n"/>
    </row>
    <row r="630">
      <c r="A630" s="61" t="n"/>
      <c r="B630" s="61" t="n"/>
    </row>
    <row r="631">
      <c r="A631" s="61" t="n"/>
      <c r="B631" s="61" t="n"/>
    </row>
    <row r="632">
      <c r="A632" s="61" t="n"/>
      <c r="B632" s="61" t="n"/>
    </row>
    <row r="633">
      <c r="A633" s="61" t="n"/>
      <c r="B633" s="61" t="n"/>
    </row>
    <row r="634">
      <c r="A634" s="61" t="n"/>
      <c r="B634" s="61" t="n"/>
    </row>
    <row r="635">
      <c r="A635" s="61" t="n"/>
      <c r="B635" s="61" t="n"/>
    </row>
    <row r="636">
      <c r="A636" s="61" t="n"/>
      <c r="B636" s="61" t="n"/>
    </row>
    <row r="637">
      <c r="A637" s="61" t="n"/>
      <c r="B637" s="61" t="n"/>
    </row>
    <row r="638">
      <c r="A638" s="61" t="n"/>
      <c r="B638" s="61" t="n"/>
    </row>
    <row r="639">
      <c r="A639" s="61" t="n"/>
      <c r="B639" s="61" t="n"/>
    </row>
    <row r="640">
      <c r="A640" s="61" t="n"/>
      <c r="B640" s="61" t="n"/>
    </row>
    <row r="641">
      <c r="A641" s="61" t="n"/>
      <c r="B641" s="61" t="n"/>
    </row>
    <row r="642">
      <c r="A642" s="61" t="n"/>
      <c r="B642" s="61" t="n"/>
    </row>
    <row r="643">
      <c r="A643" s="61" t="n"/>
      <c r="B643" s="61" t="n"/>
    </row>
    <row r="644">
      <c r="A644" s="61" t="n"/>
      <c r="B644" s="61" t="n"/>
    </row>
    <row r="645">
      <c r="A645" s="61" t="n"/>
      <c r="B645" s="61" t="n"/>
    </row>
    <row r="646">
      <c r="A646" s="61" t="n"/>
      <c r="B646" s="61" t="n"/>
    </row>
    <row r="647">
      <c r="A647" s="61" t="n"/>
      <c r="B647" s="61" t="n"/>
    </row>
    <row r="648">
      <c r="A648" s="61" t="n"/>
      <c r="B648" s="61" t="n"/>
    </row>
    <row r="649">
      <c r="A649" s="61" t="n"/>
      <c r="B649" s="61" t="n"/>
    </row>
    <row r="650">
      <c r="A650" s="61" t="n"/>
      <c r="B650" s="61" t="n"/>
    </row>
    <row r="651">
      <c r="A651" s="61" t="n"/>
      <c r="B651" s="61" t="n"/>
    </row>
    <row r="652">
      <c r="A652" s="61" t="n"/>
      <c r="B652" s="61" t="n"/>
    </row>
    <row r="653">
      <c r="A653" s="61" t="n"/>
      <c r="B653" s="61" t="n"/>
    </row>
    <row r="654">
      <c r="A654" s="61" t="n"/>
      <c r="B654" s="61" t="n"/>
    </row>
    <row r="655">
      <c r="A655" s="61" t="n"/>
      <c r="B655" s="61" t="n"/>
    </row>
    <row r="656">
      <c r="A656" s="61" t="n"/>
      <c r="B656" s="61" t="n"/>
    </row>
    <row r="657">
      <c r="A657" s="61" t="n"/>
      <c r="B657" s="61" t="n"/>
    </row>
    <row r="658">
      <c r="A658" s="61" t="n"/>
      <c r="B658" s="61" t="n"/>
    </row>
    <row r="659">
      <c r="A659" s="61" t="n"/>
      <c r="B659" s="61" t="n"/>
    </row>
    <row r="660">
      <c r="A660" s="61" t="n"/>
      <c r="B660" s="61" t="n"/>
    </row>
    <row r="661">
      <c r="A661" s="61" t="n"/>
      <c r="B661" s="61" t="n"/>
    </row>
    <row r="662">
      <c r="A662" s="61" t="n"/>
      <c r="B662" s="61" t="n"/>
    </row>
    <row r="663">
      <c r="A663" s="61" t="n"/>
      <c r="B663" s="61" t="n"/>
    </row>
    <row r="664">
      <c r="A664" s="61" t="n"/>
      <c r="B664" s="61" t="n"/>
    </row>
    <row r="665">
      <c r="A665" s="61" t="n"/>
      <c r="B665" s="61" t="n"/>
    </row>
    <row r="666">
      <c r="A666" s="61" t="n"/>
      <c r="B666" s="61" t="n"/>
    </row>
    <row r="667">
      <c r="A667" s="61" t="n"/>
      <c r="B667" s="61" t="n"/>
    </row>
    <row r="668">
      <c r="A668" s="61" t="n"/>
      <c r="B668" s="61" t="n"/>
    </row>
    <row r="669">
      <c r="A669" s="61" t="n"/>
      <c r="B669" s="61" t="n"/>
    </row>
    <row r="670">
      <c r="A670" s="61" t="n"/>
      <c r="B670" s="61" t="n"/>
    </row>
    <row r="671">
      <c r="A671" s="61" t="n"/>
      <c r="B671" s="61" t="n"/>
    </row>
    <row r="672">
      <c r="A672" s="61" t="n"/>
      <c r="B672" s="61" t="n"/>
    </row>
    <row r="673">
      <c r="A673" s="61" t="n"/>
      <c r="B673" s="61" t="n"/>
    </row>
    <row r="674">
      <c r="A674" s="61" t="n"/>
      <c r="B674" s="61" t="n"/>
    </row>
    <row r="675">
      <c r="A675" s="61" t="n"/>
      <c r="B675" s="61" t="n"/>
    </row>
    <row r="676">
      <c r="A676" s="61" t="n"/>
      <c r="B676" s="61" t="n"/>
    </row>
    <row r="677">
      <c r="A677" s="61" t="n"/>
      <c r="B677" s="61" t="n"/>
    </row>
    <row r="678">
      <c r="A678" s="61" t="n"/>
      <c r="B678" s="61" t="n"/>
    </row>
    <row r="679">
      <c r="A679" s="61" t="n"/>
      <c r="B679" s="61" t="n"/>
    </row>
    <row r="680">
      <c r="A680" s="61" t="n"/>
      <c r="B680" s="61" t="n"/>
    </row>
    <row r="681">
      <c r="A681" s="61" t="n"/>
      <c r="B681" s="61" t="n"/>
    </row>
    <row r="682">
      <c r="A682" s="61" t="n"/>
      <c r="B682" s="61" t="n"/>
    </row>
    <row r="683">
      <c r="A683" s="61" t="n"/>
      <c r="B683" s="61" t="n"/>
    </row>
    <row r="684">
      <c r="A684" s="61" t="n"/>
      <c r="B684" s="61" t="n"/>
    </row>
    <row r="685">
      <c r="A685" s="61" t="n"/>
      <c r="B685" s="61" t="n"/>
    </row>
    <row r="686">
      <c r="A686" s="61" t="n"/>
      <c r="B686" s="61" t="n"/>
    </row>
    <row r="687">
      <c r="A687" s="61" t="n"/>
      <c r="B687" s="61" t="n"/>
    </row>
    <row r="688">
      <c r="A688" s="61" t="n"/>
      <c r="B688" s="61" t="n"/>
    </row>
    <row r="689">
      <c r="A689" s="61" t="n"/>
      <c r="B689" s="61" t="n"/>
    </row>
    <row r="690">
      <c r="A690" s="61" t="n"/>
      <c r="B690" s="61" t="n"/>
    </row>
    <row r="691">
      <c r="A691" s="61" t="n"/>
      <c r="B691" s="61" t="n"/>
    </row>
    <row r="692">
      <c r="A692" s="61" t="n"/>
      <c r="B692" s="61" t="n"/>
    </row>
    <row r="693">
      <c r="A693" s="61" t="n"/>
      <c r="B693" s="61" t="n"/>
    </row>
    <row r="694">
      <c r="A694" s="61" t="n"/>
      <c r="B694" s="61" t="n"/>
    </row>
    <row r="695">
      <c r="A695" s="61" t="n"/>
      <c r="B695" s="61" t="n"/>
    </row>
    <row r="696">
      <c r="A696" s="61" t="n"/>
      <c r="B696" s="61" t="n"/>
    </row>
    <row r="697">
      <c r="A697" s="61" t="n"/>
      <c r="B697" s="61" t="n"/>
    </row>
    <row r="698">
      <c r="A698" s="61" t="n"/>
      <c r="B698" s="61" t="n"/>
    </row>
    <row r="699">
      <c r="A699" s="61" t="n"/>
      <c r="B699" s="61" t="n"/>
    </row>
    <row r="700">
      <c r="A700" s="61" t="n"/>
      <c r="B700" s="61" t="n"/>
    </row>
    <row r="701">
      <c r="A701" s="61" t="n"/>
      <c r="B701" s="61" t="n"/>
    </row>
    <row r="702">
      <c r="A702" s="61" t="n"/>
      <c r="B702" s="61" t="n"/>
    </row>
    <row r="703">
      <c r="A703" s="61" t="n"/>
      <c r="B703" s="61" t="n"/>
    </row>
    <row r="704">
      <c r="A704" s="61" t="n"/>
      <c r="B704" s="61" t="n"/>
    </row>
    <row r="705">
      <c r="A705" s="61" t="n"/>
      <c r="B705" s="61" t="n"/>
    </row>
    <row r="706">
      <c r="A706" s="61" t="n"/>
      <c r="B706" s="61" t="n"/>
    </row>
    <row r="707">
      <c r="A707" s="61" t="n"/>
      <c r="B707" s="61" t="n"/>
    </row>
    <row r="708">
      <c r="A708" s="61" t="n"/>
      <c r="B708" s="61" t="n"/>
    </row>
    <row r="709">
      <c r="A709" s="61" t="n"/>
      <c r="B709" s="61" t="n"/>
    </row>
    <row r="710">
      <c r="A710" s="61" t="n"/>
      <c r="B710" s="61" t="n"/>
    </row>
    <row r="711">
      <c r="A711" s="61" t="n"/>
      <c r="B711" s="61" t="n"/>
    </row>
    <row r="712">
      <c r="A712" s="61" t="n"/>
      <c r="B712" s="61" t="n"/>
    </row>
    <row r="713">
      <c r="A713" s="61" t="n"/>
      <c r="B713" s="61" t="n"/>
    </row>
    <row r="714">
      <c r="A714" s="61" t="n"/>
      <c r="B714" s="61" t="n"/>
    </row>
    <row r="715">
      <c r="A715" s="61" t="n"/>
      <c r="B715" s="61" t="n"/>
    </row>
    <row r="716">
      <c r="A716" s="61" t="n"/>
      <c r="B716" s="61" t="n"/>
    </row>
    <row r="717">
      <c r="A717" s="61" t="n"/>
      <c r="B717" s="61" t="n"/>
    </row>
    <row r="718">
      <c r="A718" s="61" t="n"/>
      <c r="B718" s="61" t="n"/>
    </row>
    <row r="719">
      <c r="A719" s="61" t="n"/>
      <c r="B719" s="61" t="n"/>
    </row>
    <row r="720">
      <c r="A720" s="61" t="n"/>
      <c r="B720" s="61" t="n"/>
    </row>
    <row r="721">
      <c r="A721" s="61" t="n"/>
      <c r="B721" s="61" t="n"/>
    </row>
    <row r="722">
      <c r="A722" s="61" t="n"/>
      <c r="B722" s="61" t="n"/>
    </row>
    <row r="723">
      <c r="A723" s="61" t="n"/>
      <c r="B723" s="61" t="n"/>
    </row>
    <row r="724">
      <c r="A724" s="61" t="n"/>
      <c r="B724" s="61" t="n"/>
    </row>
    <row r="725">
      <c r="A725" s="61" t="n"/>
      <c r="B725" s="61" t="n"/>
    </row>
    <row r="726">
      <c r="A726" s="61" t="n"/>
      <c r="B726" s="61" t="n"/>
    </row>
    <row r="727">
      <c r="A727" s="61" t="n"/>
      <c r="B727" s="61" t="n"/>
    </row>
    <row r="728">
      <c r="A728" s="61" t="n"/>
      <c r="B728" s="61" t="n"/>
    </row>
    <row r="729">
      <c r="A729" s="61" t="n"/>
      <c r="B729" s="61" t="n"/>
    </row>
    <row r="730">
      <c r="A730" s="61" t="n"/>
      <c r="B730" s="61" t="n"/>
    </row>
    <row r="731">
      <c r="A731" s="61" t="n"/>
      <c r="B731" s="61" t="n"/>
    </row>
    <row r="732">
      <c r="A732" s="61" t="n"/>
      <c r="B732" s="61" t="n"/>
    </row>
    <row r="733">
      <c r="A733" s="61" t="n"/>
      <c r="B733" s="61" t="n"/>
    </row>
    <row r="734">
      <c r="A734" s="61" t="n"/>
      <c r="B734" s="61" t="n"/>
    </row>
    <row r="735">
      <c r="A735" s="61" t="n"/>
      <c r="B735" s="61" t="n"/>
    </row>
    <row r="736">
      <c r="A736" s="61" t="n"/>
      <c r="B736" s="61" t="n"/>
    </row>
    <row r="737">
      <c r="A737" s="61" t="n"/>
      <c r="B737" s="61" t="n"/>
    </row>
    <row r="738">
      <c r="A738" s="61" t="n"/>
      <c r="B738" s="61" t="n"/>
    </row>
    <row r="739">
      <c r="A739" s="61" t="n"/>
      <c r="B739" s="61" t="n"/>
    </row>
    <row r="740">
      <c r="A740" s="61" t="n"/>
      <c r="B740" s="61" t="n"/>
    </row>
    <row r="741">
      <c r="A741" s="61" t="n"/>
      <c r="B741" s="61" t="n"/>
    </row>
    <row r="742">
      <c r="A742" s="61" t="n"/>
      <c r="B742" s="61" t="n"/>
    </row>
    <row r="743">
      <c r="A743" s="61" t="n"/>
      <c r="B743" s="61" t="n"/>
    </row>
    <row r="744">
      <c r="A744" s="61" t="n"/>
      <c r="B744" s="61" t="n"/>
    </row>
    <row r="745">
      <c r="A745" s="61" t="n"/>
      <c r="B745" s="61" t="n"/>
    </row>
    <row r="746">
      <c r="A746" s="61" t="n"/>
      <c r="B746" s="61" t="n"/>
    </row>
    <row r="747">
      <c r="A747" s="61" t="n"/>
      <c r="B747" s="61" t="n"/>
    </row>
    <row r="748">
      <c r="A748" s="61" t="n"/>
      <c r="B748" s="61" t="n"/>
    </row>
    <row r="749">
      <c r="A749" s="61" t="n"/>
      <c r="B749" s="61" t="n"/>
    </row>
    <row r="750">
      <c r="A750" s="61" t="n"/>
      <c r="B750" s="61" t="n"/>
    </row>
    <row r="751">
      <c r="A751" s="61" t="n"/>
      <c r="B751" s="61" t="n"/>
    </row>
    <row r="752">
      <c r="A752" s="61" t="n"/>
      <c r="B752" s="61" t="n"/>
    </row>
    <row r="753">
      <c r="A753" s="61" t="n"/>
      <c r="B753" s="61" t="n"/>
    </row>
    <row r="754">
      <c r="A754" s="61" t="n"/>
      <c r="B754" s="61" t="n"/>
    </row>
    <row r="755">
      <c r="A755" s="61" t="n"/>
      <c r="B755" s="61" t="n"/>
    </row>
    <row r="756">
      <c r="A756" s="61" t="n"/>
      <c r="B756" s="61" t="n"/>
    </row>
    <row r="757">
      <c r="A757" s="61" t="n"/>
      <c r="B757" s="61" t="n"/>
    </row>
    <row r="758">
      <c r="A758" s="61" t="n"/>
      <c r="B758" s="61" t="n"/>
    </row>
    <row r="759">
      <c r="A759" s="61" t="n"/>
      <c r="B759" s="61" t="n"/>
    </row>
    <row r="760">
      <c r="A760" s="61" t="n"/>
      <c r="B760" s="61" t="n"/>
    </row>
    <row r="761">
      <c r="A761" s="61" t="n"/>
      <c r="B761" s="61" t="n"/>
    </row>
    <row r="762">
      <c r="A762" s="61" t="n"/>
      <c r="B762" s="61" t="n"/>
    </row>
    <row r="763">
      <c r="A763" s="61" t="n"/>
      <c r="B763" s="61" t="n"/>
    </row>
    <row r="764">
      <c r="A764" s="61" t="n"/>
      <c r="B764" s="61" t="n"/>
    </row>
    <row r="765">
      <c r="A765" s="61" t="n"/>
      <c r="B765" s="61" t="n"/>
    </row>
    <row r="766">
      <c r="A766" s="61" t="n"/>
      <c r="B766" s="61" t="n"/>
    </row>
    <row r="767">
      <c r="A767" s="61" t="n"/>
      <c r="B767" s="61" t="n"/>
    </row>
    <row r="768">
      <c r="A768" s="61" t="n"/>
      <c r="B768" s="61" t="n"/>
    </row>
    <row r="769">
      <c r="A769" s="61" t="n"/>
      <c r="B769" s="61" t="n"/>
    </row>
    <row r="770">
      <c r="A770" s="61" t="n"/>
      <c r="B770" s="61" t="n"/>
    </row>
    <row r="771">
      <c r="A771" s="61" t="n"/>
      <c r="B771" s="61" t="n"/>
    </row>
    <row r="772">
      <c r="A772" s="61" t="n"/>
      <c r="B772" s="61" t="n"/>
    </row>
    <row r="773">
      <c r="A773" s="61" t="n"/>
      <c r="B773" s="61" t="n"/>
    </row>
    <row r="774">
      <c r="A774" s="61" t="n"/>
      <c r="B774" s="61" t="n"/>
    </row>
    <row r="775">
      <c r="A775" s="61" t="n"/>
      <c r="B775" s="61" t="n"/>
    </row>
    <row r="776">
      <c r="A776" s="61" t="n"/>
      <c r="B776" s="61" t="n"/>
    </row>
    <row r="777">
      <c r="A777" s="61" t="n"/>
      <c r="B777" s="61" t="n"/>
    </row>
    <row r="778">
      <c r="A778" s="61" t="n"/>
      <c r="B778" s="61" t="n"/>
    </row>
    <row r="779">
      <c r="A779" s="61" t="n"/>
      <c r="B779" s="61" t="n"/>
    </row>
    <row r="780">
      <c r="A780" s="61" t="n"/>
      <c r="B780" s="61" t="n"/>
    </row>
    <row r="781">
      <c r="A781" s="61" t="n"/>
      <c r="B781" s="61" t="n"/>
    </row>
    <row r="782">
      <c r="A782" s="61" t="n"/>
      <c r="B782" s="61" t="n"/>
    </row>
    <row r="783">
      <c r="A783" s="61" t="n"/>
      <c r="B783" s="61" t="n"/>
    </row>
    <row r="784">
      <c r="A784" s="61" t="n"/>
      <c r="B784" s="61" t="n"/>
    </row>
    <row r="785">
      <c r="A785" s="61" t="n"/>
      <c r="B785" s="61" t="n"/>
    </row>
    <row r="786">
      <c r="A786" s="61" t="n"/>
      <c r="B786" s="61" t="n"/>
    </row>
    <row r="787">
      <c r="A787" s="61" t="n"/>
      <c r="B787" s="61" t="n"/>
    </row>
    <row r="788">
      <c r="A788" s="61" t="n"/>
      <c r="B788" s="61" t="n"/>
    </row>
    <row r="789">
      <c r="A789" s="61" t="n"/>
      <c r="B789" s="61" t="n"/>
    </row>
    <row r="790">
      <c r="A790" s="61" t="n"/>
      <c r="B790" s="61" t="n"/>
    </row>
    <row r="791">
      <c r="A791" s="61" t="n"/>
      <c r="B791" s="61" t="n"/>
    </row>
    <row r="792">
      <c r="A792" s="61" t="n"/>
      <c r="B792" s="61" t="n"/>
    </row>
    <row r="793">
      <c r="A793" s="61" t="n"/>
      <c r="B793" s="61" t="n"/>
    </row>
    <row r="794">
      <c r="A794" s="61" t="n"/>
      <c r="B794" s="61" t="n"/>
    </row>
    <row r="795">
      <c r="A795" s="61" t="n"/>
      <c r="B795" s="61" t="n"/>
    </row>
    <row r="796">
      <c r="A796" s="61" t="n"/>
      <c r="B796" s="61" t="n"/>
    </row>
    <row r="797">
      <c r="A797" s="61" t="n"/>
      <c r="B797" s="61" t="n"/>
    </row>
    <row r="798">
      <c r="A798" s="61" t="n"/>
      <c r="B798" s="61" t="n"/>
    </row>
    <row r="799">
      <c r="A799" s="61" t="n"/>
      <c r="B799" s="61" t="n"/>
    </row>
    <row r="800">
      <c r="A800" s="61" t="n"/>
      <c r="B800" s="61" t="n"/>
    </row>
    <row r="801">
      <c r="A801" s="61" t="n"/>
      <c r="B801" s="61" t="n"/>
    </row>
    <row r="802">
      <c r="A802" s="61" t="n"/>
      <c r="B802" s="61" t="n"/>
    </row>
    <row r="803">
      <c r="A803" s="61" t="n"/>
      <c r="B803" s="61" t="n"/>
    </row>
    <row r="804">
      <c r="A804" s="61" t="n"/>
      <c r="B804" s="61" t="n"/>
    </row>
    <row r="805">
      <c r="A805" s="61" t="n"/>
      <c r="B805" s="61" t="n"/>
    </row>
    <row r="806">
      <c r="A806" s="61" t="n"/>
      <c r="B806" s="61" t="n"/>
    </row>
    <row r="807">
      <c r="A807" s="61" t="n"/>
      <c r="B807" s="61" t="n"/>
    </row>
    <row r="808">
      <c r="A808" s="61" t="n"/>
      <c r="B808" s="61" t="n"/>
    </row>
    <row r="809">
      <c r="A809" s="61" t="n"/>
      <c r="B809" s="61" t="n"/>
    </row>
    <row r="810">
      <c r="A810" s="61" t="n"/>
      <c r="B810" s="61" t="n"/>
    </row>
    <row r="811">
      <c r="A811" s="61" t="n"/>
      <c r="B811" s="61" t="n"/>
    </row>
    <row r="812">
      <c r="A812" s="61" t="n"/>
      <c r="B812" s="61" t="n"/>
    </row>
    <row r="813">
      <c r="A813" s="61" t="n"/>
      <c r="B813" s="61" t="n"/>
    </row>
    <row r="814">
      <c r="A814" s="61" t="n"/>
      <c r="B814" s="61" t="n"/>
    </row>
    <row r="815">
      <c r="A815" s="61" t="n"/>
      <c r="B815" s="61" t="n"/>
    </row>
    <row r="816">
      <c r="A816" s="61" t="n"/>
      <c r="B816" s="61" t="n"/>
    </row>
    <row r="817">
      <c r="A817" s="61" t="n"/>
      <c r="B817" s="61" t="n"/>
    </row>
    <row r="818">
      <c r="A818" s="61" t="n"/>
      <c r="B818" s="61" t="n"/>
    </row>
    <row r="819">
      <c r="A819" s="61" t="n"/>
      <c r="B819" s="61" t="n"/>
    </row>
    <row r="820">
      <c r="A820" s="61" t="n"/>
      <c r="B820" s="61" t="n"/>
    </row>
    <row r="821">
      <c r="A821" s="61" t="n"/>
      <c r="B821" s="61" t="n"/>
    </row>
    <row r="822">
      <c r="A822" s="61" t="n"/>
      <c r="B822" s="61" t="n"/>
    </row>
    <row r="823">
      <c r="A823" s="61" t="n"/>
      <c r="B823" s="61" t="n"/>
    </row>
    <row r="824">
      <c r="A824" s="61" t="n"/>
      <c r="B824" s="61" t="n"/>
    </row>
    <row r="825">
      <c r="A825" s="61" t="n"/>
      <c r="B825" s="61" t="n"/>
    </row>
    <row r="826">
      <c r="A826" s="61" t="n"/>
      <c r="B826" s="61" t="n"/>
    </row>
    <row r="827">
      <c r="A827" s="61" t="n"/>
      <c r="B827" s="61" t="n"/>
    </row>
    <row r="828">
      <c r="A828" s="61" t="n"/>
      <c r="B828" s="61" t="n"/>
    </row>
    <row r="829">
      <c r="A829" s="61" t="n"/>
      <c r="B829" s="61" t="n"/>
    </row>
    <row r="830">
      <c r="A830" s="61" t="n"/>
      <c r="B830" s="61" t="n"/>
    </row>
    <row r="831">
      <c r="A831" s="61" t="n"/>
      <c r="B831" s="61" t="n"/>
    </row>
    <row r="832">
      <c r="A832" s="61" t="n"/>
      <c r="B832" s="61" t="n"/>
    </row>
    <row r="833">
      <c r="A833" s="61" t="n"/>
      <c r="B833" s="61" t="n"/>
    </row>
    <row r="834">
      <c r="A834" s="61" t="n"/>
      <c r="B834" s="61" t="n"/>
    </row>
    <row r="835">
      <c r="A835" s="61" t="n"/>
      <c r="B835" s="61" t="n"/>
    </row>
    <row r="836">
      <c r="A836" s="61" t="n"/>
      <c r="B836" s="61" t="n"/>
    </row>
    <row r="837">
      <c r="A837" s="61" t="n"/>
      <c r="B837" s="61" t="n"/>
    </row>
    <row r="838">
      <c r="A838" s="61" t="n"/>
      <c r="B838" s="61" t="n"/>
    </row>
    <row r="839">
      <c r="A839" s="61" t="n"/>
      <c r="B839" s="61" t="n"/>
    </row>
    <row r="840">
      <c r="A840" s="61" t="n"/>
      <c r="B840" s="61" t="n"/>
    </row>
    <row r="841">
      <c r="A841" s="61" t="n"/>
      <c r="B841" s="61" t="n"/>
    </row>
    <row r="842">
      <c r="A842" s="61" t="n"/>
      <c r="B842" s="61" t="n"/>
    </row>
    <row r="843">
      <c r="A843" s="61" t="n"/>
      <c r="B843" s="61" t="n"/>
    </row>
    <row r="844">
      <c r="A844" s="61" t="n"/>
      <c r="B844" s="61" t="n"/>
    </row>
    <row r="845">
      <c r="A845" s="61" t="n"/>
      <c r="B845" s="61" t="n"/>
    </row>
    <row r="846">
      <c r="A846" s="61" t="n"/>
      <c r="B846" s="61" t="n"/>
    </row>
    <row r="847">
      <c r="A847" s="61" t="n"/>
      <c r="B847" s="61" t="n"/>
    </row>
    <row r="848">
      <c r="A848" s="61" t="n"/>
      <c r="B848" s="61" t="n"/>
    </row>
    <row r="849">
      <c r="A849" s="61" t="n"/>
      <c r="B849" s="61" t="n"/>
    </row>
    <row r="850">
      <c r="A850" s="61" t="n"/>
      <c r="B850" s="61" t="n"/>
    </row>
    <row r="851">
      <c r="A851" s="61" t="n"/>
      <c r="B851" s="61" t="n"/>
    </row>
    <row r="852">
      <c r="A852" s="61" t="n"/>
      <c r="B852" s="61" t="n"/>
    </row>
    <row r="853">
      <c r="A853" s="61" t="n"/>
      <c r="B853" s="61" t="n"/>
    </row>
    <row r="854">
      <c r="A854" s="61" t="n"/>
      <c r="B854" s="61" t="n"/>
    </row>
    <row r="855">
      <c r="A855" s="61" t="n"/>
      <c r="B855" s="61" t="n"/>
    </row>
    <row r="856">
      <c r="A856" s="61" t="n"/>
      <c r="B856" s="61" t="n"/>
    </row>
    <row r="857">
      <c r="A857" s="61" t="n"/>
      <c r="B857" s="61" t="n"/>
    </row>
    <row r="858">
      <c r="A858" s="61" t="n"/>
      <c r="B858" s="61" t="n"/>
    </row>
    <row r="859">
      <c r="A859" s="61" t="n"/>
      <c r="B859" s="61" t="n"/>
    </row>
    <row r="860">
      <c r="A860" s="61" t="n"/>
      <c r="B860" s="61" t="n"/>
    </row>
    <row r="861">
      <c r="A861" s="61" t="n"/>
      <c r="B861" s="61" t="n"/>
    </row>
    <row r="862">
      <c r="A862" s="61" t="n"/>
      <c r="B862" s="61" t="n"/>
    </row>
    <row r="863">
      <c r="A863" s="61" t="n"/>
      <c r="B863" s="61" t="n"/>
    </row>
    <row r="864">
      <c r="A864" s="61" t="n"/>
      <c r="B864" s="61" t="n"/>
    </row>
    <row r="865">
      <c r="A865" s="61" t="n"/>
      <c r="B865" s="61" t="n"/>
    </row>
    <row r="866">
      <c r="A866" s="61" t="n"/>
      <c r="B866" s="61" t="n"/>
    </row>
    <row r="867">
      <c r="A867" s="61" t="n"/>
      <c r="B867" s="61" t="n"/>
    </row>
    <row r="868">
      <c r="A868" s="61" t="n"/>
      <c r="B868" s="61" t="n"/>
    </row>
    <row r="869">
      <c r="A869" s="61" t="n"/>
      <c r="B869" s="61" t="n"/>
    </row>
    <row r="870">
      <c r="A870" s="61" t="n"/>
      <c r="B870" s="61" t="n"/>
    </row>
    <row r="871">
      <c r="A871" s="61" t="n"/>
      <c r="B871" s="61" t="n"/>
    </row>
    <row r="872">
      <c r="A872" s="61" t="n"/>
      <c r="B872" s="61" t="n"/>
    </row>
    <row r="873">
      <c r="A873" s="61" t="n"/>
      <c r="B873" s="61" t="n"/>
    </row>
    <row r="874">
      <c r="A874" s="61" t="n"/>
      <c r="B874" s="61" t="n"/>
    </row>
    <row r="875">
      <c r="A875" s="61" t="n"/>
      <c r="B875" s="61" t="n"/>
    </row>
    <row r="876">
      <c r="A876" s="61" t="n"/>
      <c r="B876" s="61" t="n"/>
    </row>
    <row r="877">
      <c r="A877" s="61" t="n"/>
      <c r="B877" s="61" t="n"/>
    </row>
    <row r="878">
      <c r="A878" s="61" t="n"/>
      <c r="B878" s="61" t="n"/>
    </row>
    <row r="879">
      <c r="A879" s="61" t="n"/>
      <c r="B879" s="61" t="n"/>
    </row>
    <row r="880">
      <c r="A880" s="61" t="n"/>
      <c r="B880" s="61" t="n"/>
    </row>
    <row r="881">
      <c r="A881" s="61" t="n"/>
      <c r="B881" s="61" t="n"/>
    </row>
    <row r="882">
      <c r="A882" s="61" t="n"/>
      <c r="B882" s="61" t="n"/>
    </row>
    <row r="883">
      <c r="A883" s="61" t="n"/>
      <c r="B883" s="61" t="n"/>
    </row>
    <row r="884">
      <c r="A884" s="61" t="n"/>
      <c r="B884" s="61" t="n"/>
    </row>
    <row r="885">
      <c r="A885" s="61" t="n"/>
      <c r="B885" s="61" t="n"/>
    </row>
    <row r="886">
      <c r="A886" s="61" t="n"/>
      <c r="B886" s="61" t="n"/>
    </row>
    <row r="887">
      <c r="A887" s="61" t="n"/>
      <c r="B887" s="61" t="n"/>
    </row>
    <row r="888">
      <c r="A888" s="61" t="n"/>
      <c r="B888" s="61" t="n"/>
    </row>
    <row r="889">
      <c r="A889" s="61" t="n"/>
      <c r="B889" s="61" t="n"/>
    </row>
    <row r="890">
      <c r="A890" s="61" t="n"/>
      <c r="B890" s="61" t="n"/>
    </row>
    <row r="891">
      <c r="A891" s="61" t="n"/>
      <c r="B891" s="61" t="n"/>
    </row>
    <row r="892">
      <c r="A892" s="61" t="n"/>
      <c r="B892" s="61" t="n"/>
    </row>
    <row r="893">
      <c r="A893" s="61" t="n"/>
      <c r="B893" s="61" t="n"/>
    </row>
    <row r="894">
      <c r="A894" s="61" t="n"/>
      <c r="B894" s="61" t="n"/>
    </row>
    <row r="895">
      <c r="A895" s="61" t="n"/>
      <c r="B895" s="61" t="n"/>
    </row>
    <row r="896">
      <c r="A896" s="61" t="n"/>
      <c r="B896" s="61" t="n"/>
    </row>
    <row r="897">
      <c r="A897" s="61" t="n"/>
      <c r="B897" s="61" t="n"/>
    </row>
    <row r="898">
      <c r="A898" s="61" t="n"/>
      <c r="B898" s="61" t="n"/>
    </row>
    <row r="899">
      <c r="A899" s="61" t="n"/>
      <c r="B899" s="61" t="n"/>
    </row>
    <row r="900">
      <c r="A900" s="61" t="n"/>
      <c r="B900" s="61" t="n"/>
    </row>
    <row r="901">
      <c r="A901" s="61" t="n"/>
      <c r="B901" s="61" t="n"/>
    </row>
    <row r="902">
      <c r="A902" s="61" t="n"/>
      <c r="B902" s="61" t="n"/>
    </row>
    <row r="903">
      <c r="A903" s="61" t="n"/>
      <c r="B903" s="61" t="n"/>
    </row>
    <row r="904">
      <c r="A904" s="61" t="n"/>
      <c r="B904" s="61" t="n"/>
    </row>
    <row r="905">
      <c r="A905" s="61" t="n"/>
      <c r="B905" s="61" t="n"/>
    </row>
    <row r="906">
      <c r="A906" s="61" t="n"/>
      <c r="B906" s="61" t="n"/>
    </row>
    <row r="907">
      <c r="A907" s="61" t="n"/>
      <c r="B907" s="61" t="n"/>
    </row>
    <row r="908">
      <c r="A908" s="61" t="n"/>
      <c r="B908" s="61" t="n"/>
    </row>
    <row r="909">
      <c r="A909" s="61" t="n"/>
      <c r="B909" s="61" t="n"/>
    </row>
    <row r="910">
      <c r="A910" s="61" t="n"/>
      <c r="B910" s="61" t="n"/>
    </row>
    <row r="911">
      <c r="A911" s="61" t="n"/>
      <c r="B911" s="61" t="n"/>
    </row>
    <row r="912">
      <c r="A912" s="61" t="n"/>
      <c r="B912" s="61" t="n"/>
    </row>
    <row r="913">
      <c r="A913" s="61" t="n"/>
      <c r="B913" s="61" t="n"/>
    </row>
    <row r="914">
      <c r="A914" s="61" t="n"/>
      <c r="B914" s="61" t="n"/>
    </row>
    <row r="915">
      <c r="A915" s="61" t="n"/>
      <c r="B915" s="61" t="n"/>
    </row>
    <row r="916">
      <c r="A916" s="61" t="n"/>
      <c r="B916" s="61" t="n"/>
    </row>
    <row r="917">
      <c r="A917" s="61" t="n"/>
      <c r="B917" s="61" t="n"/>
    </row>
    <row r="918">
      <c r="A918" s="61" t="n"/>
      <c r="B918" s="61" t="n"/>
    </row>
    <row r="919">
      <c r="A919" s="61" t="n"/>
      <c r="B919" s="61" t="n"/>
    </row>
    <row r="920">
      <c r="A920" s="61" t="n"/>
      <c r="B920" s="61" t="n"/>
    </row>
    <row r="921">
      <c r="A921" s="61" t="n"/>
      <c r="B921" s="61" t="n"/>
    </row>
    <row r="922">
      <c r="A922" s="61" t="n"/>
      <c r="B922" s="61" t="n"/>
    </row>
    <row r="923">
      <c r="A923" s="61" t="n"/>
      <c r="B923" s="61" t="n"/>
    </row>
    <row r="924">
      <c r="A924" s="61" t="n"/>
      <c r="B924" s="61" t="n"/>
    </row>
    <row r="925">
      <c r="A925" s="61" t="n"/>
      <c r="B925" s="61" t="n"/>
    </row>
    <row r="926">
      <c r="A926" s="61" t="n"/>
      <c r="B926" s="61" t="n"/>
    </row>
    <row r="927">
      <c r="A927" s="61" t="n"/>
      <c r="B927" s="61" t="n"/>
    </row>
    <row r="928">
      <c r="A928" s="61" t="n"/>
      <c r="B928" s="61" t="n"/>
    </row>
    <row r="929">
      <c r="A929" s="61" t="n"/>
      <c r="B929" s="61" t="n"/>
    </row>
    <row r="930">
      <c r="A930" s="61" t="n"/>
      <c r="B930" s="61" t="n"/>
    </row>
    <row r="931">
      <c r="A931" s="61" t="n"/>
      <c r="B931" s="61" t="n"/>
    </row>
    <row r="932">
      <c r="A932" s="61" t="n"/>
      <c r="B932" s="61" t="n"/>
    </row>
    <row r="933">
      <c r="A933" s="61" t="n"/>
      <c r="B933" s="61" t="n"/>
    </row>
    <row r="934">
      <c r="A934" s="61" t="n"/>
      <c r="B934" s="61" t="n"/>
    </row>
    <row r="935">
      <c r="A935" s="61" t="n"/>
      <c r="B935" s="61" t="n"/>
    </row>
    <row r="936">
      <c r="A936" s="61" t="n"/>
      <c r="B936" s="61" t="n"/>
    </row>
    <row r="937">
      <c r="A937" s="61" t="n"/>
      <c r="B937" s="61" t="n"/>
    </row>
    <row r="938">
      <c r="A938" s="61" t="n"/>
      <c r="B938" s="61" t="n"/>
    </row>
    <row r="939">
      <c r="A939" s="61" t="n"/>
      <c r="B939" s="61" t="n"/>
    </row>
    <row r="940">
      <c r="A940" s="61" t="n"/>
      <c r="B940" s="61" t="n"/>
    </row>
    <row r="941">
      <c r="A941" s="61" t="n"/>
      <c r="B941" s="61" t="n"/>
    </row>
    <row r="942">
      <c r="A942" s="61" t="n"/>
      <c r="B942" s="61" t="n"/>
    </row>
    <row r="943">
      <c r="A943" s="61" t="n"/>
      <c r="B943" s="61" t="n"/>
    </row>
    <row r="944">
      <c r="A944" s="61" t="n"/>
      <c r="B944" s="61" t="n"/>
    </row>
    <row r="945">
      <c r="A945" s="61" t="n"/>
      <c r="B945" s="61" t="n"/>
    </row>
    <row r="946">
      <c r="A946" s="61" t="n"/>
      <c r="B946" s="61" t="n"/>
    </row>
    <row r="947">
      <c r="A947" s="61" t="n"/>
      <c r="B947" s="61" t="n"/>
    </row>
    <row r="948">
      <c r="A948" s="61" t="n"/>
      <c r="B948" s="61" t="n"/>
    </row>
    <row r="949">
      <c r="A949" s="61" t="n"/>
      <c r="B949" s="61" t="n"/>
    </row>
    <row r="950">
      <c r="A950" s="61" t="n"/>
      <c r="B950" s="61" t="n"/>
    </row>
    <row r="951">
      <c r="A951" s="61" t="n"/>
      <c r="B951" s="61" t="n"/>
    </row>
    <row r="952">
      <c r="A952" s="61" t="n"/>
      <c r="B952" s="61" t="n"/>
    </row>
    <row r="953">
      <c r="A953" s="61" t="n"/>
      <c r="B953" s="61" t="n"/>
    </row>
    <row r="954">
      <c r="A954" s="61" t="n"/>
      <c r="B954" s="61" t="n"/>
    </row>
    <row r="955">
      <c r="A955" s="61" t="n"/>
      <c r="B955" s="61" t="n"/>
    </row>
    <row r="956">
      <c r="A956" s="61" t="n"/>
      <c r="B956" s="61" t="n"/>
    </row>
    <row r="957">
      <c r="A957" s="61" t="n"/>
      <c r="B957" s="61" t="n"/>
    </row>
    <row r="958">
      <c r="A958" s="61" t="n"/>
      <c r="B958" s="61" t="n"/>
    </row>
    <row r="959">
      <c r="A959" s="61" t="n"/>
      <c r="B959" s="61" t="n"/>
    </row>
    <row r="960">
      <c r="A960" s="61" t="n"/>
      <c r="B960" s="61" t="n"/>
    </row>
    <row r="961">
      <c r="A961" s="61" t="n"/>
      <c r="B961" s="61" t="n"/>
    </row>
    <row r="962">
      <c r="A962" s="61" t="n"/>
      <c r="B962" s="61" t="n"/>
    </row>
    <row r="963">
      <c r="A963" s="61" t="n"/>
      <c r="B963" s="61" t="n"/>
    </row>
    <row r="964">
      <c r="A964" s="61" t="n"/>
      <c r="B964" s="61" t="n"/>
    </row>
    <row r="965">
      <c r="A965" s="61" t="n"/>
      <c r="B965" s="61" t="n"/>
    </row>
    <row r="966">
      <c r="A966" s="61" t="n"/>
      <c r="B966" s="61" t="n"/>
    </row>
    <row r="967">
      <c r="A967" s="61" t="n"/>
      <c r="B967" s="61" t="n"/>
    </row>
    <row r="968">
      <c r="A968" s="61" t="n"/>
      <c r="B968" s="61" t="n"/>
    </row>
    <row r="969">
      <c r="A969" s="61" t="n"/>
      <c r="B969" s="61" t="n"/>
    </row>
    <row r="970">
      <c r="A970" s="61" t="n"/>
      <c r="B970" s="61" t="n"/>
    </row>
    <row r="971">
      <c r="A971" s="61" t="n"/>
      <c r="B971" s="61" t="n"/>
    </row>
    <row r="972">
      <c r="A972" s="61" t="n"/>
      <c r="B972" s="61" t="n"/>
    </row>
    <row r="973">
      <c r="A973" s="61" t="n"/>
      <c r="B973" s="61" t="n"/>
    </row>
    <row r="974">
      <c r="A974" s="61" t="n"/>
      <c r="B974" s="61" t="n"/>
    </row>
    <row r="975">
      <c r="A975" s="61" t="n"/>
      <c r="B975" s="61" t="n"/>
    </row>
    <row r="976">
      <c r="A976" s="61" t="n"/>
      <c r="B976" s="61" t="n"/>
    </row>
    <row r="977">
      <c r="A977" s="61" t="n"/>
      <c r="B977" s="61" t="n"/>
    </row>
    <row r="978">
      <c r="A978" s="61" t="n"/>
      <c r="B978" s="61" t="n"/>
    </row>
    <row r="979">
      <c r="A979" s="61" t="n"/>
      <c r="B979" s="61" t="n"/>
    </row>
    <row r="980">
      <c r="A980" s="61" t="n"/>
      <c r="B980" s="61" t="n"/>
    </row>
    <row r="981">
      <c r="A981" s="61" t="n"/>
      <c r="B981" s="61" t="n"/>
    </row>
    <row r="982">
      <c r="A982" s="61" t="n"/>
      <c r="B982" s="61" t="n"/>
    </row>
    <row r="983">
      <c r="A983" s="61" t="n"/>
      <c r="B983" s="61" t="n"/>
    </row>
    <row r="984">
      <c r="A984" s="61" t="n"/>
      <c r="B984" s="61" t="n"/>
    </row>
    <row r="985">
      <c r="A985" s="61" t="n"/>
      <c r="B985" s="61" t="n"/>
    </row>
    <row r="986">
      <c r="A986" s="61" t="n"/>
      <c r="B986" s="61" t="n"/>
    </row>
    <row r="987">
      <c r="A987" s="61" t="n"/>
      <c r="B987" s="61" t="n"/>
    </row>
    <row r="988">
      <c r="A988" s="61" t="n"/>
      <c r="B988" s="61" t="n"/>
    </row>
    <row r="989">
      <c r="A989" s="61" t="n"/>
      <c r="B989" s="61" t="n"/>
    </row>
    <row r="990">
      <c r="A990" s="61" t="n"/>
      <c r="B990" s="61" t="n"/>
    </row>
    <row r="991">
      <c r="A991" s="61" t="n"/>
      <c r="B991" s="61" t="n"/>
    </row>
    <row r="992">
      <c r="A992" s="61" t="n"/>
      <c r="B992" s="61" t="n"/>
    </row>
    <row r="993">
      <c r="A993" s="61" t="n"/>
      <c r="B993" s="61" t="n"/>
    </row>
    <row r="994">
      <c r="A994" s="61" t="n"/>
      <c r="B994" s="61" t="n"/>
    </row>
    <row r="995">
      <c r="A995" s="61" t="n"/>
      <c r="B995" s="61" t="n"/>
    </row>
    <row r="996">
      <c r="A996" s="61" t="n"/>
      <c r="B996" s="61" t="n"/>
    </row>
    <row r="997">
      <c r="A997" s="61" t="n"/>
      <c r="B997" s="61" t="n"/>
    </row>
    <row r="998">
      <c r="A998" s="61" t="n"/>
      <c r="B998" s="61" t="n"/>
    </row>
    <row r="999">
      <c r="A999" s="61" t="n"/>
      <c r="B999" s="61" t="n"/>
    </row>
    <row r="1000">
      <c r="A1000" s="61" t="n"/>
      <c r="B1000" s="61" t="n"/>
    </row>
    <row r="1001">
      <c r="A1001" s="61" t="n"/>
      <c r="B1001" s="61" t="n"/>
    </row>
    <row r="1002" ht="15.75" customHeight="1" s="62">
      <c r="A1002" s="61" t="n"/>
      <c r="B1002" s="61" t="n"/>
    </row>
  </sheetData>
  <mergeCells count="1">
    <mergeCell ref="A1:D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Example</dc:creator>
  <dcterms:created xmlns:dcterms="http://purl.org/dc/terms/" xmlns:xsi="http://www.w3.org/2001/XMLSchema-instance" xsi:type="dcterms:W3CDTF">2026-08-17T15:59:52Z</dcterms:created>
  <dcterms:modified xmlns:dcterms="http://purl.org/dc/terms/" xmlns:xsi="http://www.w3.org/2001/XMLSchema-instance" xsi:type="dcterms:W3CDTF">2026-09-04T20:56:04Z</dcterms:modified>
  <cp:lastModifiedBy>Example</cp:lastModifiedBy>
</cp:coreProperties>
</file>