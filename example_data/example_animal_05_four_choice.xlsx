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5d3dd99f7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cfaa25baf704256"/>
    <x:sheet xmlns:r="http://schemas.openxmlformats.org/officeDocument/2006/relationships" name="WEIGHT" sheetId="2" r:id="Rc30e1b14919248d7"/>
    <x:sheet xmlns:r="http://schemas.openxmlformats.org/officeDocument/2006/relationships" name="ACCLIM" sheetId="3" r:id="R2517d98fb35a4373"/>
    <x:sheet xmlns:r="http://schemas.openxmlformats.org/officeDocument/2006/relationships" name="SHAPE" sheetId="4" r:id="Rd987eff4f0d248cc"/>
    <x:sheet xmlns:r="http://schemas.openxmlformats.org/officeDocument/2006/relationships" name="DISC" sheetId="5" r:id="Rf51ab009bdb443e2"/>
    <x:sheet xmlns:r="http://schemas.openxmlformats.org/officeDocument/2006/relationships" name="RECALL" sheetId="6" r:id="R31de90efca4d4b85"/>
    <x:sheet xmlns:r="http://schemas.openxmlformats.org/officeDocument/2006/relationships" name="REV" sheetId="7" r:id="Rf467ef9738614b5d"/>
    <x:sheet xmlns:r="http://schemas.openxmlformats.org/officeDocument/2006/relationships" name="SUMMARY" sheetId="8" r:id="Raa29b8b28b18450c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<x:sst xmlns:x="http://schemas.openxmlformats.org/spreadsheetml/2006/main">
  <x:si>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</x:si>
  <x:si>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</x:si>
  <x:si>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</x:si>
  <x:si>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</x:si>
  <x:si>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</x:si>
  <x:si>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</x:si>
  <x:si>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</x:si>
  <x:si>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</x:si>
  <x:si>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</x:si>
  <x:si>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</x:si>
  <x:si>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</x:si>
  <x:si>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</x:si>
  <x:si>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</x:si>
  <x:si>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</x:si>
  <x:si>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</x:si>
  <x:si>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</x:si>
  <x:si>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</x:si>
  <x:si>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</x:si>
  <x:si>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</x:si>
  <x:si>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</x:si>
  <x:si>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</x:si>
  <x:si>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</x:si>
  <x:si>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</x:si>
  <x:si>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</x:si>
  <x:si>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</x:si>
  <x:si>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</x:si>
  <x:si>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</x:si>
  <x:si>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</x:si>
  <x:si>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</x:si>
  <x:si>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</x:si>
  <x:si>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</x:si>
  <x:si>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</x:si>
  <x:si>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</x:si>
  <x:si>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</x:si>
  <x:si>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</x:si>
  <x:si>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</x:si>
  <x:si>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</x:si>
  <x:si>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</x:si>
  <x:si>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</x:si>
  <x:si>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</x:si>
  <x:si>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</x:si>
  <x:si>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</x:si>
  <x:si>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</x:si>
  <x:si>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</x:si>
  <x:si>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</x:si>
  <x:si>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</x:si>
  <x:si>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</x:si>
  <x:si>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</x:si>
  <x:si>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</x:si>
  <x:si>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</x:si>
  <x:si>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</x:si>
  <x:si>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</x:si>
  <x:si>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</x:si>
  <x:si>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</x:si>
  <x:si>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</x:si>
  <x:si>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</x:si>
  <x:si>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</x:si>
  <x:si>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</x:si>
  <x:si>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</x:si>
  <x:si>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</x:si>
  <x:si>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</x:si>
  <x:si>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</x:si>
  <x:si>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</x:si>
  <x:si>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</x:si>
  <x:si>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</x:si>
  <x:si>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</x:si>
  <x:si>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</x:si>
  <x:si>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</x:si>
  <x:si>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</x:si>
  <x:si>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</x:si>
  <x:si>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</x:si>
  <x:si>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</x:si>
  <x:si>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</x:si>
  <x:si>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</x:si>
  <x:si>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</x:si>
  <x:si>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</x:si>
  <x:si>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</x:si>
  <x:si>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</x:si>
  <x:si>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</x:si>
  <x:si>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</x:si>
  <x:si>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</x:si>
  <x:si>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</x:si>
  <x:si>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HL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</x:si>
  <x:si>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</x:si>
  <x:si>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</x:si>
  <x:si>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</x:si>
  <x:si>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</x:si>
  <x:si>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</x:si>
  <x:si>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</x:si>
  <x:si>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</x:si>
  <x:si>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</x:si>
  <x:si>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</x:si>
  <x:si>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</x:si>
  <x:si>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</x:si>
  <x:si>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</x:si>
  <x:si>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</x:si>
  <x:si>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</x:si>
  <x:si>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252</x:t>
  </x:si>
  <x:si>
    <x:t xml:space="preserve">204</x:t>
  </x:si>
  <x:si>
    <x:t xml:space="preserve">177</x:t>
  </x:si>
  <x:si>
    <x:t xml:space="preserve">225</x:t>
  </x:si>
  <x:si>
    <x:t xml:space="preserve">4</x:t>
  </x:si>
  <x:si>
    <x:t xml:space="preserve">Round 2</x:t>
  </x:si>
  <x:si>
    <x:t xml:space="preserve">174</x:t>
  </x:si>
  <x:si>
    <x:t xml:space="preserve">n/a</x:t>
  </x:si>
  <x:si>
    <x:t xml:space="preserve">1</x:t>
  </x:si>
  <x:si>
    <x:t xml:space="preserve">Round 3</x:t>
  </x:si>
  <x:si>
    <x:t xml:space="preserve">520</x:t>
  </x:si>
  <x:si>
    <x:t xml:space="preserve">76</x:t>
  </x:si>
  <x:si>
    <x:t xml:space="preserve">21</x:t>
  </x:si>
  <x:si>
    <x:t xml:space="preserve">3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</x:si>
  <x:si>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</x:si>
  <x:si>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</x:si>
  <x:si>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</x:si>
  <x:si>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</x:si>
  <x:si>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</x:si>
  <x:si>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</x:si>
  <x:si>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</x:si>
  <x:si>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</x:si>
  <x:si>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</x:si>
  <x:si>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</x:si>
  <x:si>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</x:si>
  <x:si>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</x:si>
  <x:si>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</x:si>
  <x:si>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</x:si>
  <x:si>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</x:si>
  <x:si>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</x:si>
  <x:si>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</x:si>
  <x:si>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</x:si>
  <x:si>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</x:si>
  <x:si>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groom, climb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</x:si>
  <x:si>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</x:si>
  <x:si>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</x:si>
  <x:si>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</x:si>
  <x:si>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</x:si>
  <x:si>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</x:si>
  <x:si>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</x:si>
  <x:si>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</x:si>
  <x:si>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</x:si>
  <x:si>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</x:si>
  <x:si>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</x:si>
  <x:si>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</x:si>
  <x:si>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</x:si>
  <x:si>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</x:si>
  <x:si>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</x:si>
  <x:si>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</x:si>
  <x:si>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</x:si>
  <x:si>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</x:si>
  <x:si>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</x:si>
  <x:si>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Omit</x:t>
  </x:si>
  <x:si>
    <x:t xml:space="preserve">12341242123431423242414232142</x:t>
  </x:si>
  <x:si>
    <x:t xml:space="preserve">climb</x:t>
  </x:si>
  <x:si>
    <x:t xml:space="preserve">BCDA</x:t>
  </x:si>
  <x:si>
    <x:t xml:space="preserve">A</x:t>
  </x:si>
  <x:si>
    <x:t xml:space="preserve">12324123243414</x:t>
  </x:si>
  <x:si>
    <x:t xml:space="preserve">CDAB</x:t>
  </x:si>
  <x:si>
    <x:t xml:space="preserve">2413</x:t>
  </x:si>
  <x:si>
    <x:t xml:space="preserve">DABC</x:t>
  </x:si>
  <x:si>
    <x:t xml:space="preserve">14143242312</x:t>
  </x:si>
  <x:si>
    <x:t xml:space="preserve">B</x:t>
  </x:si>
  <x:si>
    <x:t xml:space="preserve">14231432142</x:t>
  </x:si>
  <x:si>
    <x:t xml:space="preserve">3124</x:t>
  </x:si>
  <x:si>
    <x:t xml:space="preserve">423</x:t>
  </x:si>
  <x:si>
    <x:t xml:space="preserve">groom</x:t>
  </x:si>
  <x:si>
    <x:t xml:space="preserve">3142</x:t>
  </x:si>
  <x:si>
    <x:t xml:space="preserve">121</x:t>
  </x:si>
  <x:si>
    <x:t xml:space="preserve">D</x:t>
  </x:si>
  <x:si>
    <x:t xml:space="preserve">143</x:t>
  </x:si>
  <x:si>
    <x:t xml:space="preserve">234123213</x:t>
  </x:si>
  <x:si>
    <x:t xml:space="preserve">SECTION 7 — Day 6: Testing (Recall)</x:t>
  </x:si>
  <x:si>
    <x:t xml:space="preserve">324124143231432414131</x:t>
  </x:si>
  <x:si>
    <x:t xml:space="preserve">2432132312424</x:t>
  </x:si>
  <x:si>
    <x:t xml:space="preserve">424132123</x:t>
  </x:si>
  <x:si>
    <x:t xml:space="preserve">321412</x:t>
  </x:si>
  <x:si>
    <x:t xml:space="preserve">1242</x:t>
  </x:si>
  <x:si>
    <x:t xml:space="preserve">314243231232324</x:t>
  </x:si>
  <x:si>
    <x:t xml:space="preserve">413</x:t>
  </x:si>
  <x:si>
    <x:t xml:space="preserve">3432</x:t>
  </x:si>
  <x:si>
    <x:t xml:space="preserve">241242431</x:t>
  </x:si>
  <x:si>
    <x:t xml:space="preserve">24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</x:si>
  <x:si>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</x:si>
  <x:si>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</x:si>
  <x:si>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</x:si>
  <x:si>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</x:si>
  <x:si>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</x:si>
  <x:si>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1432413241231231</x:t>
  </x:si>
  <x:si>
    <x:t xml:space="preserve">232424124243</x:t>
  </x:si>
  <x:si>
    <x:t xml:space="preserve">431231432</x:t>
  </x:si>
  <x:si>
    <x:t xml:space="preserve">24341</x:t>
  </x:si>
  <x:si>
    <x:t xml:space="preserve">431</x:t>
  </x:si>
  <x:si>
    <x:t xml:space="preserve">213</x:t>
  </x:si>
  <x:si>
    <x:t xml:space="preserve">341312</x:t>
  </x:si>
  <x:si>
    <x:t xml:space="preserve">32</x:t>
  </x:si>
  <x:si>
    <x:t xml:space="preserve">31</x:t>
  </x:si>
  <x:si>
    <x:t xml:space="preserve">34</x:t>
  </x:si>
  <x:si>
    <x:t xml:space="preserve">12</x:t>
  </x:si>
  <x:si>
    <x:t xml:space="preserve">2</x:t>
  </x:si>
  <x:si>
    <x:t xml:space="preserve">342</x:t>
  </x:si>
  <x:si>
    <x:t xml:space="preserve">41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</x:si>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</x:sst>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8">
    <x:font>
      <x:sz val="11"/>
      <x:color theme="1"/>
      <x:name val="Aptos Narrow"/>
    </x:font>
    <x:font>
      <x:b/>
      <x:sz val="16"/>
      <x:color rgb="FFFFFFFF"/>
      <x:name val="Arial"/>
    </x:font>
    <x:font/>
    <x:font>
      <x:b/>
      <x:sz val="12"/>
      <x:color rgb="FFFFFFFF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2"/>
      <x:color rgb="FFFFFFFF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9C0006"/>
      <x:name val="Aptos Narrow"/>
    </x:font>
    <x:font>
      <x:sz val="11"/>
      <x:color rgb="FF006100"/>
      <x:name val="Aptos Narrow"/>
    </x:font>
    <x:font>
      <x:sz val="11"/>
      <x:color rgb="FF974706"/>
      <x:name val="Aptos Narrow"/>
    </x:font>
    <x:font>
      <x:sz val="11"/>
      <x:color rgb="FF1F4E78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84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3" fillId="3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/>
    </x:xf>
    <x:xf numFmtId="0" fontId="6" fillId="3" borderId="1" xfId="0" applyFont="1" applyFill="1" applyBorder="1" applyAlignment="1">
      <x:alignment horizontal="center" vertical="center"/>
    </x:xf>
    <x:xf numFmtId="0" fontId="5" fillId="4" borderId="3" xfId="0" applyFont="1" applyFill="1" applyBorder="1" applyAlignment="1">
      <x:alignment horizontal="center" vertical="center"/>
    </x:xf>
    <x:xf numFmtId="0" fontId="7" fillId="0" borderId="3" xfId="0" applyFont="1" applyBorder="1" applyAlignment="1">
      <x:alignment horizontal="center"/>
    </x:xf>
    <x:xf numFmtId="164" fontId="7" fillId="0" borderId="3" xfId="0" applyNumberFormat="1" applyFont="1" applyBorder="1" applyAlignment="1">
      <x:alignment horizontal="center" vertical="bottom"/>
    </x:xf>
    <x:xf numFmtId="0" fontId="5" fillId="4" borderId="3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bottom"/>
    </x:xf>
    <x:xf numFmtId="0" fontId="8" fillId="4" borderId="3" xfId="0" applyFont="1" applyFill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bottom"/>
    </x:xf>
    <x:xf numFmtId="165" fontId="7" fillId="0" borderId="3" xfId="0" applyNumberFormat="1" applyFont="1" applyBorder="1" applyAlignment="1">
      <x:alignment horizontal="center" vertical="center"/>
    </x:xf>
    <x:xf numFmtId="165" fontId="4" fillId="0" borderId="3" xfId="0" applyNumberFormat="1" applyFont="1" applyBorder="1" applyAlignment="1">
      <x:alignment horizontal="right" vertical="bottom"/>
    </x:xf>
    <x:xf numFmtId="165" fontId="7" fillId="0" borderId="3" xfId="0" applyNumberFormat="1" applyFont="1" applyBorder="1" applyAlignment="1">
      <x:alignment horizontal="center" vertical="bottom"/>
    </x:xf>
    <x:xf numFmtId="0" fontId="4" fillId="0" borderId="3" xfId="0" applyFont="1" applyBorder="1" applyAlignment="1">
      <x:alignment vertical="bottom"/>
    </x:xf>
    <x:xf numFmtId="165" fontId="7" fillId="0" borderId="3" xfId="0" applyNumberFormat="1" applyFont="1" applyBorder="1" applyAlignment="1">
      <x:alignment horizontal="center"/>
    </x:xf>
    <x:xf numFmtId="164" fontId="7" fillId="0" borderId="3" xfId="0" applyNumberFormat="1" applyFont="1" applyBorder="1" applyAlignment="1">
      <x:alignment horizontal="center" vertical="center"/>
    </x:xf>
    <x:xf numFmtId="0" fontId="5" fillId="4" borderId="3" xfId="0" applyFont="1" applyFill="1" applyBorder="1" applyAlignment="1">
      <x:alignment horizontal="center" vertical="bottom"/>
    </x:xf>
    <x:xf numFmtId="164" fontId="7" fillId="0" borderId="3" xfId="0" applyNumberFormat="1" applyFont="1" applyBorder="1" applyAlignment="1">
      <x:alignment horizontal="center"/>
    </x:xf>
    <x:xf numFmtId="0" fontId="7" fillId="0" borderId="3" xfId="0" applyFont="1" applyBorder="1" applyAlignment="1">
      <x:alignment vertical="bottom"/>
    </x:xf>
    <x:xf numFmtId="18" fontId="4" fillId="5" borderId="3" xfId="0" applyNumberFormat="1" applyFont="1" applyFill="1" applyBorder="1" applyAlignment="1">
      <x:alignment horizontal="center"/>
    </x:xf>
    <x:xf numFmtId="0" fontId="4" fillId="0" borderId="0" xfId="0" applyFont="1"/>
    <x:xf numFmtId="0" fontId="4" fillId="4" borderId="3" xfId="0" applyFont="1" applyFill="1" applyBorder="1" applyAlignment="1">
      <x:alignment vertical="bottom"/>
    </x:xf>
    <x:xf numFmtId="0" fontId="4" fillId="5" borderId="3" xfId="0" applyFont="1" applyFill="1" applyBorder="1" applyAlignment="1">
      <x:alignment horizontal="center" vertical="center"/>
    </x:xf>
    <x:xf numFmtId="0" fontId="9" fillId="0" borderId="0" xfId="0" applyFont="1" applyAlignment="1">
      <x:alignment horizontal="center"/>
    </x:xf>
    <x:xf numFmtId="0" fontId="4" fillId="0" borderId="0" xfId="0" applyFont="1" applyAlignment="1">
      <x:alignment vertical="bottom"/>
    </x:xf>
    <x:xf numFmtId="0" fontId="10" fillId="6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wrapText="1"/>
    </x:xf>
    <x:xf numFmtId="0" fontId="3" fillId="3" borderId="1" xfId="0" applyFont="1" applyFill="1" applyBorder="1" applyAlignment="1">
      <x:alignment horizontal="center" vertical="bottom"/>
    </x:xf>
    <x:xf numFmtId="0" fontId="11" fillId="6" borderId="3" xfId="0" applyFont="1" applyFill="1" applyBorder="1" applyAlignment="1">
      <x:alignment horizontal="center" wrapText="1"/>
    </x:xf>
    <x:xf numFmtId="49" fontId="9" fillId="0" borderId="3" xfId="0" applyNumberFormat="1" applyFont="1" applyBorder="1" applyAlignment="1">
      <x:alignment horizontal="center" vertical="bottom"/>
    </x:xf>
    <x:xf numFmtId="49" fontId="7" fillId="0" borderId="3" xfId="0" applyNumberFormat="1" applyFont="1" applyBorder="1" applyAlignment="1">
      <x:alignment horizontal="center" vertical="bottom"/>
    </x:xf>
    <x:xf numFmtId="0" fontId="4" fillId="0" borderId="3" xfId="0" applyFont="1" applyBorder="1"/>
    <x:xf numFmtId="20" fontId="7" fillId="0" borderId="3" xfId="0" applyNumberFormat="1" applyFont="1" applyBorder="1" applyAlignment="1">
      <x:alignment horizontal="center" vertical="bottom"/>
    </x:xf>
    <x:xf numFmtId="0" fontId="8" fillId="4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/>
    </x:xf>
    <x:xf numFmtId="2" fontId="4" fillId="5" borderId="3" xfId="0" applyNumberFormat="1" applyFont="1" applyFill="1" applyBorder="1" applyAlignment="1">
      <x:alignment horizontal="center" vertical="center"/>
    </x:xf>
    <x:xf numFmtId="1" fontId="7" fillId="0" borderId="3" xfId="0" applyNumberFormat="1" applyFont="1" applyBorder="1" applyAlignment="1">
      <x:alignment horizontal="center"/>
    </x:xf>
    <x:xf numFmtId="0" fontId="1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166" fontId="7" fillId="0" borderId="3" xfId="0" applyNumberFormat="1" applyFont="1" applyBorder="1" applyAlignment="1">
      <x:alignment horizontal="center" vertical="center"/>
    </x:xf>
    <x:xf numFmtId="166" fontId="7" fillId="0" borderId="3" xfId="0" applyNumberFormat="1" applyFont="1" applyBorder="1" applyAlignment="1">
      <x:alignment horizontal="center"/>
    </x:xf>
    <x:xf numFmtId="167" fontId="4" fillId="5" borderId="3" xfId="0" applyNumberFormat="1" applyFont="1" applyFill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/>
    </x:xf>
    <x:xf numFmtId="0" fontId="10" fillId="3" borderId="1" xfId="0" applyFont="1" applyFill="1" applyBorder="1" applyAlignment="1">
      <x:alignment horizontal="center" vertical="center"/>
    </x:xf>
    <x:xf numFmtId="164" fontId="7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/>
    </x:xf>
    <x:xf numFmtId="0" fontId="4" fillId="7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 wrapText="1"/>
    </x:xf>
    <x:xf numFmtId="0" fontId="10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" fontId="7" fillId="0" borderId="3" xfId="0" applyNumberFormat="1" applyFont="1" applyBorder="1" applyAlignment="1">
      <x:alignment horizontal="center" wrapText="1"/>
    </x:xf>
    <x:xf numFmtId="49" fontId="7" fillId="0" borderId="3" xfId="0" applyNumberFormat="1" applyFont="1" applyBorder="1" applyAlignment="1">
      <x:alignment horizontal="center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7" fillId="7" borderId="3" xfId="0" applyFont="1" applyFill="1" applyBorder="1" applyAlignment="1">
      <x:alignment horizontal="center" vertical="center"/>
    </x:xf>
    <x:xf numFmtId="0" fontId="4" fillId="5" borderId="3" xfId="0" applyFont="1" applyFill="1" applyBorder="1" applyAlignment="1">
      <x:alignment horizontal="center"/>
    </x:xf>
    <x:xf numFmtId="0" fontId="15" fillId="10" borderId="3" xfId="0" applyFont="1" applyFill="1" applyBorder="1" applyAlignment="1">
      <x:alignment horizontal="center"/>
    </x:xf>
    <x:xf numFmtId="0" fontId="13" fillId="7" borderId="3" xfId="0" applyFont="1" applyFill="1" applyBorder="1" applyAlignment="1">
      <x:alignment horizontal="center" vertical="center"/>
    </x:xf>
    <x:xf numFmtId="0" fontId="7" fillId="10" borderId="3" xfId="0" applyFont="1" applyFill="1" applyBorder="1" applyAlignment="1">
      <x:alignment horizontal="center" vertical="center"/>
    </x:xf>
    <x:xf numFmtId="49" fontId="4" fillId="0" borderId="3" xfId="0" applyNumberFormat="1" applyFont="1" applyBorder="1"/>
    <x:xf numFmtId="49" fontId="4" fillId="0" borderId="3" xfId="0" applyNumberFormat="1" applyFont="1" applyBorder="1" applyAlignment="1">
      <x:alignment horizontal="center" vertical="center"/>
    </x:xf>
    <x:xf numFmtId="0" fontId="4" fillId="5" borderId="3" xfId="0" applyFont="1" applyFill="1" applyBorder="1"/>
    <x:xf numFmtId="0" fontId="16" fillId="11" borderId="3" xfId="0" applyFont="1" applyFill="1" applyBorder="1" applyAlignment="1">
      <x:alignment horizontal="center"/>
    </x:xf>
    <x:xf numFmtId="0" fontId="7" fillId="0" borderId="3" xfId="0" applyFont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1" fontId="7" fillId="0" borderId="3" xfId="0" applyNumberFormat="1" applyFont="1" applyBorder="1" applyAlignment="1">
      <x:alignment horizontal="center" vertical="bottom"/>
    </x:xf>
    <x:xf numFmtId="0" fontId="17" fillId="4" borderId="3" xfId="0" applyFont="1" applyFill="1" applyBorder="1" applyAlignment="1">
      <x:alignment horizontal="center"/>
    </x:xf>
    <x:xf numFmtId="4" fontId="4" fillId="0" borderId="3" xfId="0" applyNumberFormat="1" applyFont="1" applyBorder="1" applyAlignment="1">
      <x:alignment horizontal="center" vertical="center" wrapText="1"/>
    </x:xf>
    <x:xf numFmtId="4" fontId="13" fillId="0" borderId="3" xfId="0" applyNumberFormat="1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ce2db804f4b40" /><Relationship Type="http://schemas.openxmlformats.org/officeDocument/2006/relationships/theme" Target="/xl/theme/theme1.xml" Id="Rf3845177ff8441e7" /><Relationship Type="http://schemas.openxmlformats.org/officeDocument/2006/relationships/sharedStrings" Target="/xl/sharedStrings.xml" Id="R1663886a4234494b" /><Relationship Type="http://schemas.openxmlformats.org/officeDocument/2006/relationships/worksheet" Target="/xl/worksheets/sheet1.xml" Id="Rdcfaa25baf704256" /><Relationship Type="http://schemas.openxmlformats.org/officeDocument/2006/relationships/worksheet" Target="/xl/worksheets/sheet2.xml" Id="Rc30e1b14919248d7" /><Relationship Type="http://schemas.openxmlformats.org/officeDocument/2006/relationships/worksheet" Target="/xl/worksheets/sheet3.xml" Id="R2517d98fb35a4373" /><Relationship Type="http://schemas.openxmlformats.org/officeDocument/2006/relationships/worksheet" Target="/xl/worksheets/sheet4.xml" Id="Rd987eff4f0d248cc" /><Relationship Type="http://schemas.openxmlformats.org/officeDocument/2006/relationships/worksheet" Target="/xl/worksheets/sheet5.xml" Id="Rf51ab009bdb443e2" /><Relationship Type="http://schemas.openxmlformats.org/officeDocument/2006/relationships/worksheet" Target="/xl/worksheets/sheet6.xml" Id="R31de90efca4d4b85" /><Relationship Type="http://schemas.openxmlformats.org/officeDocument/2006/relationships/worksheet" Target="/xl/worksheets/sheet7.xml" Id="Rf467ef9738614b5d" /><Relationship Type="http://schemas.openxmlformats.org/officeDocument/2006/relationships/worksheet" Target="/xl/worksheets/sheet8.xml" Id="Raa29b8b28b18450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6" t="s">
        <x:v>1</x:v>
      </x:c>
      <x:c r="B3" s="2"/>
      <x:c r="C3" s="2"/>
      <x:c r="D3" s="2"/>
      <x:c r="E3" s="2"/>
      <x:c r="F3" s="2"/>
      <x:c r="G3" s="2"/>
      <x:c r="H3" s="2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1" t="s">
        <x:v>2</x:v>
      </x:c>
      <x:c r="B5" s="13" t="str">
        <x:v>Example_Animal_05</x:v>
      </x:c>
      <x:c r="C5" s="11" t="s">
        <x:v>3</x:v>
      </x:c>
      <x:c r="D5" s="13" t="s">
        <x:v>4</x:v>
      </x:c>
      <x:c r="E5" s="11" t="s">
        <x:v>5</x:v>
      </x:c>
      <x:c r="F5" s="15">
        <x:v>46203.0</x:v>
      </x:c>
      <x:c r="G5" s="11" t="s">
        <x:v>6</x:v>
      </x:c>
      <x:c r="H5" s="17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20" t="s">
        <x:v>7</x:v>
      </x:c>
      <x:c r="B6" s="13" t="str">
        <x:v>Control</x:v>
      </x:c>
      <x:c r="C6" s="11" t="s">
        <x:v>8</x:v>
      </x:c>
      <x:c r="D6" s="13" t="s">
        <x:v>9</x:v>
      </x:c>
      <x:c r="E6" s="11" t="s">
        <x:v>10</x:v>
      </x:c>
      <x:c r="F6" s="22" t="s">
        <x:v>11</x:v>
      </x:c>
      <x:c r="G6" s="11" t="s">
        <x:v>12</x:v>
      </x:c>
      <x:c r="H6" s="17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1" t="s">
        <x:v>13</x:v>
      </x:c>
      <x:c r="B7" s="13" t="s">
        <x:v>14</x:v>
      </x:c>
      <x:c r="C7" s="20" t="s">
        <x:v>15</x:v>
      </x:c>
      <x:c r="D7" s="13" t="s">
        <x:v>16</x:v>
      </x:c>
      <x:c r="E7" s="11" t="s">
        <x:v>17</x:v>
      </x:c>
      <x:c r="F7" s="22" t="s">
        <x:v>14</x:v>
      </x:c>
      <x:c r="G7" s="11" t="s">
        <x:v>18</x:v>
      </x:c>
      <x:c r="H7" s="13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1" t="s">
        <x:v>20</x:v>
      </x:c>
      <x:c r="B8" s="17"/>
      <x:c r="C8" s="11" t="s">
        <x:v>21</x:v>
      </x:c>
      <x:c r="D8" s="13" t="s">
        <x:v>22</x:v>
      </x:c>
      <x:c r="E8" s="11" t="s">
        <x:v>23</x:v>
      </x:c>
      <x:c r="F8" s="22" t="s">
        <x:v>14</x:v>
      </x:c>
      <x:c r="G8" s="11" t="s">
        <x:v>24</x:v>
      </x:c>
      <x:c r="H8" s="13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1" t="s">
        <x:v>26</x:v>
      </x:c>
      <x:c r="B9" s="13" t="s">
        <x:v>27</x:v>
      </x:c>
      <x:c r="C9" s="11" t="s">
        <x:v>28</x:v>
      </x:c>
      <x:c r="D9" s="17"/>
      <x:c r="E9" s="25"/>
      <x:c r="F9" s="17"/>
      <x:c r="G9" s="11" t="s">
        <x:v>29</x:v>
      </x:c>
      <x:c r="H9" s="13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25"/>
      <x:c r="B10" s="17"/>
      <x:c r="C10" s="25"/>
      <x:c r="D10" s="17"/>
      <x:c r="E10" s="25"/>
      <x:c r="F10" s="17"/>
      <x:c r="G10" s="25"/>
      <x:c r="H10" s="17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25"/>
      <x:c r="B11" s="17"/>
      <x:c r="C11" s="25"/>
      <x:c r="D11" s="17"/>
      <x:c r="E11" s="25"/>
      <x:c r="F11" s="17"/>
      <x:c r="G11" s="25"/>
      <x:c r="H11" s="17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25"/>
      <x:c r="B12" s="17"/>
      <x:c r="C12" s="25"/>
      <x:c r="D12" s="17"/>
      <x:c r="E12" s="25"/>
      <x:c r="F12" s="17"/>
      <x:c r="G12" s="25"/>
      <x:c r="H12" s="17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28"/>
      <x:c r="B13" s="28"/>
      <x:c r="C13" s="28"/>
      <x:c r="D13" s="28"/>
      <x:c r="E13" s="28"/>
      <x:c r="F13" s="28"/>
      <x:c r="G13" s="28"/>
      <x:c r="H13" s="28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31" t="s">
        <x:v>30</x:v>
      </x:c>
      <x:c r="B14" s="2"/>
      <x:c r="C14" s="2"/>
      <x:c r="D14" s="2"/>
      <x:c r="E14" s="2"/>
      <x:c r="F14" s="2"/>
      <x:c r="G14" s="2"/>
      <x:c r="H14" s="2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28"/>
      <x:c r="B15" s="28"/>
      <x:c r="C15" s="28"/>
      <x:c r="D15" s="28"/>
      <x:c r="E15" s="28"/>
      <x:c r="F15" s="28"/>
      <x:c r="G15" s="28"/>
      <x:c r="H15" s="28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11" t="s">
        <x:v>31</x:v>
      </x:c>
      <x:c r="B16" s="13" t="s">
        <x:v>32</x:v>
      </x:c>
      <x:c r="C16" s="11" t="s">
        <x:v>33</x:v>
      </x:c>
      <x:c r="D16" s="13" t="s">
        <x:v>34</x:v>
      </x:c>
      <x:c r="E16" s="11" t="s">
        <x:v>35</x:v>
      </x:c>
      <x:c r="F16" s="13" t="s">
        <x:v>36</x:v>
      </x:c>
      <x:c r="G16" s="11" t="s">
        <x:v>37</x:v>
      </x:c>
      <x:c r="H16" s="13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1" t="s">
        <x:v>39</x:v>
      </x:c>
      <x:c r="B17" s="17"/>
      <x:c r="C17" s="11" t="s">
        <x:v>40</x:v>
      </x:c>
      <x:c r="D17" s="13" t="s">
        <x:v>41</x:v>
      </x:c>
      <x:c r="E17" s="11" t="s">
        <x:v>42</x:v>
      </x:c>
      <x:c r="F17" s="17"/>
      <x:c r="G17" s="11" t="s">
        <x:v>43</x:v>
      </x:c>
      <x:c r="H17" s="13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1" t="s">
        <x:v>44</x:v>
      </x:c>
      <x:c r="B18" s="36">
        <x:v>0.5083333333333333</x:v>
      </x:c>
      <x:c r="C18" s="11" t="s">
        <x:v>45</x:v>
      </x:c>
      <x:c r="D18" s="17"/>
      <x:c r="E18" s="11" t="s">
        <x:v>46</x:v>
      </x:c>
      <x:c r="F18" s="13" t="s">
        <x:v>19</x:v>
      </x:c>
      <x:c r="G18" s="20" t="s">
        <x:v>47</x:v>
      </x:c>
      <x:c r="H18" s="13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1" t="s">
        <x:v>49</x:v>
      </x:c>
      <x:c r="B19" s="9">
        <x:v>0.9166666666666666</x:v>
      </x:c>
      <x:c r="C19" s="11" t="s">
        <x:v>50</x:v>
      </x:c>
      <x:c r="D19" s="17"/>
      <x:c r="E19" s="11" t="s">
        <x:v>51</x:v>
      </x:c>
      <x:c r="F19" s="13" t="s">
        <x:v>19</x:v>
      </x:c>
      <x:c r="G19" s="11" t="s">
        <x:v>52</x:v>
      </x:c>
      <x:c r="H19" s="13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1" t="s">
        <x:v>53</x:v>
      </x:c>
      <x:c r="B20" s="17"/>
      <x:c r="C20" s="11" t="s">
        <x:v>54</x:v>
      </x:c>
      <x:c r="D20" s="13" t="s">
        <x:v>19</x:v>
      </x:c>
      <x:c r="E20" s="11" t="s">
        <x:v>55</x:v>
      </x:c>
      <x:c r="F20" s="13" t="s">
        <x:v>19</x:v>
      </x:c>
      <x:c r="G20" s="25"/>
      <x:c r="H20" s="17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25"/>
      <x:c r="B21" s="17"/>
      <x:c r="C21" s="25"/>
      <x:c r="D21" s="17"/>
      <x:c r="E21" s="11" t="s">
        <x:v>56</x:v>
      </x:c>
      <x:c r="F21" s="17"/>
      <x:c r="G21" s="25"/>
      <x:c r="H21" s="17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25"/>
      <x:c r="B22" s="17"/>
      <x:c r="C22" s="25"/>
      <x:c r="D22" s="17"/>
      <x:c r="E22" s="11" t="s">
        <x:v>57</x:v>
      </x:c>
      <x:c r="F22" s="17"/>
      <x:c r="G22" s="25"/>
      <x:c r="H22" s="17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25"/>
      <x:c r="B23" s="17"/>
      <x:c r="C23" s="25"/>
      <x:c r="D23" s="17"/>
      <x:c r="E23" s="25"/>
      <x:c r="F23" s="17"/>
      <x:c r="G23" s="25"/>
      <x:c r="H23" s="17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1"/>
      <x:c r="B24" s="41"/>
      <x:c r="C24" s="41"/>
      <x:c r="D24" s="41"/>
      <x:c r="E24" s="41"/>
      <x:c r="F24" s="41"/>
      <x:c r="G24" s="41"/>
      <x:c r="H24" s="41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1"/>
      <x:c r="B25" s="41"/>
      <x:c r="C25" s="41"/>
      <x:c r="D25" s="41"/>
      <x:c r="E25" s="41"/>
      <x:c r="F25" s="41"/>
      <x:c r="G25" s="41"/>
      <x:c r="H25" s="41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 ht="14.25" customHeight="1">
      <x:c r="A26" s="41"/>
      <x:c r="B26" s="41"/>
      <x:c r="C26" s="41"/>
      <x:c r="D26" s="41"/>
      <x:c r="E26" s="41"/>
      <x:c r="F26" s="41"/>
      <x:c r="G26" s="41"/>
      <x:c r="H26" s="41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1"/>
      <x:c r="B27" s="41"/>
      <x:c r="C27" s="41"/>
      <x:c r="D27" s="41"/>
      <x:c r="E27" s="41"/>
      <x:c r="F27" s="41"/>
      <x:c r="G27" s="41"/>
      <x:c r="H27" s="41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1"/>
      <x:c r="B28" s="41"/>
      <x:c r="C28" s="41"/>
      <x:c r="D28" s="41"/>
      <x:c r="E28" s="41"/>
      <x:c r="F28" s="41"/>
      <x:c r="G28" s="41"/>
      <x:c r="H28" s="41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1"/>
      <x:c r="B29" s="41"/>
      <x:c r="C29" s="41"/>
      <x:c r="D29" s="41"/>
      <x:c r="E29" s="41"/>
      <x:c r="F29" s="41"/>
      <x:c r="G29" s="41"/>
      <x:c r="H29" s="41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1"/>
      <x:c r="B30" s="41"/>
      <x:c r="C30" s="41"/>
      <x:c r="D30" s="41"/>
      <x:c r="E30" s="41"/>
      <x:c r="F30" s="41"/>
      <x:c r="G30" s="41"/>
      <x:c r="H30" s="41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1"/>
      <x:c r="B31" s="41"/>
      <x:c r="C31" s="41"/>
      <x:c r="D31" s="41"/>
      <x:c r="E31" s="41"/>
      <x:c r="F31" s="41"/>
      <x:c r="G31" s="41"/>
      <x:c r="H31" s="41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3" t="s">
        <x:v>58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7" t="s">
        <x:v>59</x:v>
      </x:c>
      <x:c r="B4" s="7" t="s">
        <x:v>60</x:v>
      </x:c>
      <x:c r="C4" s="7" t="s">
        <x:v>61</x:v>
      </x:c>
      <x:c r="D4" s="7" t="s">
        <x:v>62</x:v>
      </x:c>
      <x:c r="E4" s="7" t="s">
        <x:v>63</x:v>
      </x:c>
      <x:c r="F4" s="7" t="s">
        <x:v>64</x:v>
      </x:c>
      <x:c r="G4" s="7" t="s">
        <x:v>65</x:v>
      </x:c>
      <x:c r="H4" s="7" t="s">
        <x:v>66</x:v>
      </x:c>
    </x:row>
    <x:row r="5">
      <x:c r="A5" s="10" t="s">
        <x:v>67</x:v>
      </x:c>
      <x:c r="B5" s="10" t="s">
        <x:v>68</x:v>
      </x:c>
      <x:c r="C5" s="10" t="s">
        <x:v>69</x:v>
      </x:c>
      <x:c r="D5" s="10" t="s">
        <x:v>69</x:v>
      </x:c>
      <x:c r="E5" s="10" t="s">
        <x:v>70</x:v>
      </x:c>
      <x:c r="F5" s="12" t="s">
        <x:v>71</x:v>
      </x:c>
      <x:c r="G5" s="12" t="s">
        <x:v>72</x:v>
      </x:c>
      <x:c r="H5" s="10" t="s">
        <x:v>73</x:v>
      </x:c>
    </x:row>
    <x:row r="6">
      <x:c r="A6" s="7" t="s">
        <x:v>74</x:v>
      </x:c>
      <x:c r="B6" s="14"/>
      <x:c r="C6" s="16"/>
      <x:c r="D6" s="16"/>
      <x:c r="E6" s="16"/>
      <x:c r="F6" s="18"/>
      <x:c r="G6" s="16"/>
      <x:c r="H6" s="16"/>
    </x:row>
    <x:row r="7">
      <x:c r="A7" s="7" t="s">
        <x:v>75</x:v>
      </x:c>
      <x:c r="B7" s="19"/>
      <x:c r="C7" s="9"/>
      <x:c r="D7" s="9"/>
      <x:c r="E7" s="9"/>
      <x:c r="F7" s="21"/>
      <x:c r="G7" s="9"/>
      <x:c r="H7" s="9"/>
    </x:row>
    <x:row r="8">
      <x:c r="A8" s="7" t="s">
        <x:v>76</x:v>
      </x:c>
      <x:c r="B8" s="26" t="str">
        <x:f>IF(B7="","","ZT " &amp; TEXT(MOD(B7-METADATA!$B$19,1),"hh:mm"))</x:f>
      </x:c>
      <x:c r="C8" s="26" t="str">
        <x:f>IF(C7="","","ZT " &amp; TEXT(MOD(C7-METADATA!$B$19,1),"hh:mm"))</x:f>
      </x:c>
      <x:c r="D8" s="26" t="str">
        <x:f>IF(D7="","","ZT " &amp; TEXT(MOD(D7-METADATA!$B$19,1),"hh:mm"))</x:f>
      </x:c>
      <x:c r="E8" s="26" t="str">
        <x:f>IF(E7="","","ZT " &amp; TEXT(MOD(E7-METADATA!$B$19,1),"hh:mm"))</x:f>
      </x:c>
      <x:c r="F8" s="26" t="str">
        <x:f>IF(F7="","","ZT " &amp; TEXT(MOD(F7-METADATA!$B$19,1),"hh:mm"))</x:f>
      </x:c>
      <x:c r="G8" s="26" t="str">
        <x:f>IF(G7="","","ZT " &amp; TEXT(MOD(G7-METADATA!$B$19,1),"hh:mm"))</x:f>
      </x:c>
      <x:c r="H8" s="26" t="str">
        <x:f>IF(H7="","","ZT " &amp; TEXT(MOD(H7-METADATA!$B$19,1),"hh:mm"))</x:f>
      </x:c>
    </x:row>
    <x:row r="9">
      <x:c r="A9" s="37" t="s">
        <x:v>77</x:v>
      </x:c>
      <x:c r="B9" s="39" t="n">
        <x:f>B6-METADATA!$F$5</x:f>
        <x:v>-46203</x:v>
      </x:c>
      <x:c r="C9" s="39" t="n">
        <x:f>C6-METADATA!$F$5</x:f>
        <x:v>-46203</x:v>
      </x:c>
      <x:c r="D9" s="39" t="n">
        <x:f>D6-METADATA!$F$5</x:f>
        <x:v>-46203</x:v>
      </x:c>
      <x:c r="E9" s="39" t="n">
        <x:f>E6-METADATA!$F$5</x:f>
        <x:v>-46203</x:v>
      </x:c>
      <x:c r="F9" s="39" t="n">
        <x:f>F6-METADATA!$F$5</x:f>
        <x:v>-46203</x:v>
      </x:c>
      <x:c r="G9" s="39" t="n">
        <x:f>G6-METADATA!$F$5</x:f>
        <x:v>-46203</x:v>
      </x:c>
      <x:c r="H9" s="39" t="n">
        <x:f>H6-METADATA!$F$5</x:f>
        <x:v>-46203</x:v>
      </x:c>
    </x:row>
    <x:row r="10">
      <x:c r="A10" s="7" t="s">
        <x:v>78</x:v>
      </x:c>
      <x:c r="B10" s="43"/>
      <x:c r="C10" s="44"/>
      <x:c r="D10" s="44"/>
      <x:c r="E10" s="44"/>
      <x:c r="F10" s="44"/>
      <x:c r="G10" s="44"/>
      <x:c r="H10" s="44"/>
    </x:row>
    <x:row r="11">
      <x:c r="A11" s="7" t="s">
        <x:v>79</x:v>
      </x:c>
      <x:c r="B11" s="45" t="str">
        <x:f t="shared" ref="B11:H11" si="1">IFERROR(B10/$B$10,"-")</x:f>
        <x:v>-</x:v>
      </x:c>
      <x:c r="C11" s="45" t="str">
        <x:f t="shared" si="1"/>
        <x:v>-</x:v>
      </x:c>
      <x:c r="D11" s="45" t="str">
        <x:f t="shared" si="1"/>
        <x:v>-</x:v>
      </x:c>
      <x:c r="E11" s="45" t="str">
        <x:f t="shared" si="1"/>
        <x:v>-</x:v>
      </x:c>
      <x:c r="F11" s="45" t="str">
        <x:f t="shared" si="1"/>
        <x:v>-</x:v>
      </x:c>
      <x:c r="G11" s="45" t="str">
        <x:f t="shared" si="1"/>
        <x:v>-</x:v>
      </x:c>
      <x:c r="H11" s="45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3" t="s">
        <x:v>80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81</x:v>
      </x:c>
      <x:c r="B3" s="8" t="s">
        <x:v>82</x:v>
      </x:c>
      <x:c r="C3" s="5" t="s">
        <x:v>83</x:v>
      </x:c>
      <x:c r="D3" s="9">
        <x:v>0.6118055555555556</x:v>
      </x:c>
      <x:c r="E3" s="5" t="s">
        <x:v>84</x:v>
      </x:c>
      <x:c r="F3" s="23" t="str">
        <x:f>IF(D3="","","ZT " &amp; TEXT(MOD(D3-METADATA!$B$19,1),"hh:mm"))</x:f>
        <x:v>ZT 16:41</x:v>
      </x:c>
      <x:c r="G3" s="24"/>
      <x:c r="H3" s="4"/>
    </x:row>
    <x:row r="4">
      <x:c r="A4" s="5" t="s">
        <x:v>85</x:v>
      </x:c>
      <x:c r="B4" s="16">
        <x:v>46266.0</x:v>
      </x:c>
      <x:c r="C4" s="5" t="s">
        <x:v>86</x:v>
      </x:c>
      <x:c r="D4" s="9">
        <x:v>0.63125</x:v>
      </x:c>
      <x:c r="E4" s="5" t="s">
        <x:v>87</x:v>
      </x:c>
      <x:c r="F4" s="23" t="str">
        <x:f>IF(D4="","","ZT " &amp; TEXT(MOD(D4-METADATA!$B$19,1),"hh:mm"))</x:f>
        <x:v>ZT 17:09</x:v>
      </x:c>
      <x:c r="G4" s="24"/>
      <x:c r="H4" s="4"/>
    </x:row>
    <x:row r="5">
      <x:c r="A5" s="24"/>
      <x:c r="B5" s="24"/>
      <x:c r="C5" s="24"/>
      <x:c r="D5" s="24"/>
      <x:c r="E5" s="24"/>
      <x:c r="F5" s="24"/>
      <x:c r="G5" s="24"/>
      <x:c r="H5" s="4"/>
    </x:row>
    <x:row r="6">
      <x:c r="A6" s="24"/>
      <x:c r="B6" s="24"/>
      <x:c r="C6" s="24"/>
      <x:c r="D6" s="24"/>
      <x:c r="E6" s="24"/>
      <x:c r="F6" s="24"/>
      <x:c r="G6" s="24"/>
      <x:c r="H6" s="4"/>
    </x:row>
    <x:row r="7">
      <x:c r="A7" s="24"/>
      <x:c r="B7" s="24"/>
      <x:c r="C7" s="24"/>
      <x:c r="D7" s="24"/>
      <x:c r="E7" s="24"/>
      <x:c r="F7" s="24"/>
      <x:c r="G7" s="24"/>
      <x:c r="H7" s="4"/>
    </x:row>
    <x:row r="8">
      <x:c r="A8" s="27" t="s">
        <x:v>88</x:v>
      </x:c>
      <x:c r="B8" s="24"/>
      <x:c r="C8" s="24"/>
      <x:c r="D8" s="24"/>
      <x:c r="E8" s="24"/>
      <x:c r="F8" s="24"/>
      <x:c r="G8" s="24"/>
      <x:c r="H8" s="4"/>
    </x:row>
    <x:row r="9">
      <x:c r="A9" s="29" t="s">
        <x:v>89</x:v>
      </x:c>
      <x:c r="B9" s="30" t="s">
        <x:v>90</x:v>
      </x:c>
      <x:c r="C9" s="30" t="s">
        <x:v>91</x:v>
      </x:c>
      <x:c r="D9" s="30" t="s">
        <x:v>92</x:v>
      </x:c>
      <x:c r="E9" s="30" t="s">
        <x:v>93</x:v>
      </x:c>
      <x:c r="F9" s="32" t="s">
        <x:v>94</x:v>
      </x:c>
      <x:c r="G9" s="29" t="s">
        <x:v>95</x:v>
      </x:c>
      <x:c r="H9" s="4"/>
    </x:row>
    <x:row r="10">
      <x:c r="A10" s="5" t="s">
        <x:v>96</x:v>
      </x:c>
      <x:c r="B10" s="33" t="s">
        <x:v>97</x:v>
      </x:c>
      <x:c r="C10" s="33" t="s">
        <x:v>98</x:v>
      </x:c>
      <x:c r="D10" s="33" t="s">
        <x:v>99</x:v>
      </x:c>
      <x:c r="E10" s="33" t="s">
        <x:v>100</x:v>
      </x:c>
      <x:c r="F10" s="34" t="s">
        <x:v>101</x:v>
      </x:c>
      <x:c r="G10" s="35"/>
    </x:row>
    <x:row r="11">
      <x:c r="A11" s="5" t="s">
        <x:v>102</x:v>
      </x:c>
      <x:c r="B11" s="33" t="s">
        <x:v>103</x:v>
      </x:c>
      <x:c r="C11" s="33" t="s">
        <x:v>104</x:v>
      </x:c>
      <x:c r="D11" s="33" t="s">
        <x:v>104</x:v>
      </x:c>
      <x:c r="E11" s="33" t="s">
        <x:v>104</x:v>
      </x:c>
      <x:c r="F11" s="34" t="s">
        <x:v>105</x:v>
      </x:c>
      <x:c r="G11" s="35"/>
    </x:row>
    <x:row r="12">
      <x:c r="A12" s="5" t="s">
        <x:v>106</x:v>
      </x:c>
      <x:c r="B12" s="33" t="s">
        <x:v>107</x:v>
      </x:c>
      <x:c r="C12" s="33" t="s">
        <x:v>104</x:v>
      </x:c>
      <x:c r="D12" s="33" t="s">
        <x:v>108</x:v>
      </x:c>
      <x:c r="E12" s="33" t="s">
        <x:v>109</x:v>
      </x:c>
      <x:c r="F12" s="34" t="s">
        <x:v>110</x:v>
      </x:c>
      <x:c r="G12" s="3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3" t="s">
        <x:v>111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8" t="s">
        <x:v>82</x:v>
      </x:c>
      <x:c r="C3" s="5" t="s">
        <x:v>83</x:v>
      </x:c>
      <x:c r="D3" s="21">
        <x:v>0.7104166666666667</x:v>
      </x:c>
      <x:c r="E3" s="5" t="s">
        <x:v>84</x:v>
      </x:c>
      <x:c r="F3" s="23" t="str">
        <x:f>IF(D3="","","ZT " &amp; TEXT(MOD(D3-METADATA!$B$19,1),"hh:mm"))</x:f>
        <x:v>ZT 19:03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18">
        <x:v>46267.0</x:v>
      </x:c>
      <x:c r="C4" s="5" t="s">
        <x:v>86</x:v>
      </x:c>
      <x:c r="D4" s="21">
        <x:v>0.7451388888888889</x:v>
      </x:c>
      <x:c r="E4" s="5" t="s">
        <x:v>87</x:v>
      </x:c>
      <x:c r="F4" s="23" t="str">
        <x:f>IF(D4="","","ZT " &amp; TEXT(MOD(D4-METADATA!$B$19,1),"hh:mm"))</x:f>
        <x:v>ZT 19:53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24"/>
      <x:c r="B5" s="24"/>
      <x:c r="C5" s="24"/>
      <x:c r="D5" s="24"/>
      <x:c r="E5" s="24"/>
      <x:c r="F5" s="2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29" t="s">
        <x:v>112</x:v>
      </x:c>
      <x:c r="B6" s="29" t="s">
        <x:v>113</x:v>
      </x:c>
      <x:c r="C6" s="38" t="s">
        <x:v>114</x:v>
      </x:c>
      <x:c r="D6" s="38" t="s">
        <x:v>115</x:v>
      </x:c>
      <x:c r="E6" s="38" t="s">
        <x:v>116</x:v>
      </x:c>
      <x:c r="F6" s="29" t="s">
        <x:v>95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117</x:v>
      </x:c>
      <x:c r="C7" s="5" t="s">
        <x:v>118</x:v>
      </x:c>
      <x:c r="D7" s="40">
        <x:v>20.0</x:v>
      </x:c>
      <x:c r="E7" s="40">
        <x:v>20.0</x:v>
      </x:c>
      <x:c r="F7" s="35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119</x:v>
      </x:c>
      <x:c r="C8" s="5" t="s">
        <x:v>120</x:v>
      </x:c>
      <x:c r="D8" s="40">
        <x:v>29.0</x:v>
      </x:c>
      <x:c r="E8" s="40">
        <x:v>163.0</x:v>
      </x:c>
      <x:c r="F8" s="35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121</x:v>
      </x:c>
      <x:c r="C9" s="5" t="s">
        <x:v>122</x:v>
      </x:c>
      <x:c r="D9" s="40">
        <x:v>15.0</x:v>
      </x:c>
      <x:c r="E9" s="40">
        <x:v>58.0</x:v>
      </x:c>
      <x:c r="F9" s="35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123</x:v>
      </x:c>
      <x:c r="C10" s="5" t="s">
        <x:v>124</x:v>
      </x:c>
      <x:c r="D10" s="40">
        <x:v>45.0</x:v>
      </x:c>
      <x:c r="E10" s="40">
        <x:v>46.0</x:v>
      </x:c>
      <x:c r="F10" s="35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125</x:v>
      </x:c>
      <x:c r="C11" s="5" t="s">
        <x:v>118</x:v>
      </x:c>
      <x:c r="D11" s="40">
        <x:v>55.0</x:v>
      </x:c>
      <x:c r="E11" s="40">
        <x:v>201.0</x:v>
      </x:c>
      <x:c r="F11" s="35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126</x:v>
      </x:c>
      <x:c r="C12" s="5" t="s">
        <x:v>120</x:v>
      </x:c>
      <x:c r="D12" s="40">
        <x:v>261.0</x:v>
      </x:c>
      <x:c r="E12" s="40">
        <x:v>335.0</x:v>
      </x:c>
      <x:c r="F12" s="35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46" t="s">
        <x:v>127</x:v>
      </x:c>
      <x:c r="C13" s="5" t="s">
        <x:v>122</x:v>
      </x:c>
      <x:c r="D13" s="40">
        <x:v>85.0</x:v>
      </x:c>
      <x:c r="E13" s="40">
        <x:v>161.0</x:v>
      </x:c>
      <x:c r="F13" s="35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46" t="s">
        <x:v>128</x:v>
      </x:c>
      <x:c r="C14" s="5" t="s">
        <x:v>124</x:v>
      </x:c>
      <x:c r="D14" s="40">
        <x:v>73.0</x:v>
      </x:c>
      <x:c r="E14" s="40">
        <x:v>147.0</x:v>
      </x:c>
      <x:c r="F14" s="35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129</x:v>
      </x:c>
      <x:c r="C15" s="5" t="s">
        <x:v>118</x:v>
      </x:c>
      <x:c r="D15" s="40">
        <x:v>65.0</x:v>
      </x:c>
      <x:c r="E15" s="40">
        <x:v>109.0</x:v>
      </x:c>
      <x:c r="F15" s="35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129</x:v>
      </x:c>
      <x:c r="C16" s="5" t="s">
        <x:v>120</x:v>
      </x:c>
      <x:c r="D16" s="40">
        <x:v>275.0</x:v>
      </x:c>
      <x:c r="E16" s="40">
        <x:v>307.0</x:v>
      </x:c>
      <x:c r="F16" s="8" t="s">
        <x:v>130</x:v>
      </x:c>
    </x:row>
    <x:row r="17">
      <x:c r="A17" s="5">
        <x:v>11.0</x:v>
      </x:c>
      <x:c r="B17" s="5" t="s">
        <x:v>129</x:v>
      </x:c>
      <x:c r="C17" s="5" t="s">
        <x:v>122</x:v>
      </x:c>
      <x:c r="D17" s="40">
        <x:v>55.0</x:v>
      </x:c>
      <x:c r="E17" s="40">
        <x:v>94.0</x:v>
      </x:c>
      <x:c r="F17" s="35"/>
    </x:row>
    <x:row r="18">
      <x:c r="A18" s="5">
        <x:v>12.0</x:v>
      </x:c>
      <x:c r="B18" s="5" t="s">
        <x:v>129</x:v>
      </x:c>
      <x:c r="C18" s="5" t="s">
        <x:v>124</x:v>
      </x:c>
      <x:c r="D18" s="40">
        <x:v>136.0</x:v>
      </x:c>
      <x:c r="E18" s="40">
        <x:v>139.0</x:v>
      </x:c>
      <x:c r="F18" s="8" t="s">
        <x:v>130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7" t="s">
        <x:v>131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81</x:v>
      </x:c>
      <x:c r="B3" s="8" t="s">
        <x:v>82</x:v>
      </x:c>
      <x:c r="C3" s="5" t="s">
        <x:v>83</x:v>
      </x:c>
      <x:c r="D3" s="48">
        <x:v>0.7319444444444444</x:v>
      </x:c>
      <x:c r="E3" s="5" t="s">
        <x:v>84</x:v>
      </x:c>
      <x:c r="F3" s="23" t="str">
        <x:f>IF(D3="","","ZT " &amp; TEXT(MOD(D3-METADATA!$B$19,1),"hh:mm"))</x:f>
        <x:v>ZT 19:34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85</x:v>
      </x:c>
      <x:c r="B4" s="18">
        <x:v>46268.0</x:v>
      </x:c>
      <x:c r="C4" s="5" t="s">
        <x:v>86</x:v>
      </x:c>
      <x:c r="D4" s="48">
        <x:v>0.7541666666666667</x:v>
      </x:c>
      <x:c r="E4" s="5" t="s">
        <x:v>87</x:v>
      </x:c>
      <x:c r="F4" s="23" t="str">
        <x:f>IF(D4="","","ZT " &amp; TEXT(MOD(D4-METADATA!$B$19,1),"hh:mm"))</x:f>
        <x:v>ZT 20:06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24"/>
      <x:c r="B5" s="24"/>
      <x:c r="C5" s="24"/>
      <x:c r="D5" s="24"/>
      <x:c r="E5" s="24"/>
      <x:c r="F5" s="2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49" t="s">
        <x:v>132</x:v>
      </x:c>
      <x:c r="B6" s="50" t="s">
        <x:v>133</x:v>
      </x:c>
      <x:c r="C6" s="24"/>
      <x:c r="D6" s="49" t="s">
        <x:v>134</x:v>
      </x:c>
      <x:c r="E6" s="50" t="s">
        <x:v>135</x:v>
      </x:c>
      <x:c r="F6" s="2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49" t="s">
        <x:v>136</x:v>
      </x:c>
      <x:c r="B7" s="50" t="s">
        <x:v>137</x:v>
      </x:c>
      <x:c r="C7" s="50" t="s">
        <x:v>138</x:v>
      </x:c>
      <x:c r="D7" s="50" t="s">
        <x:v>139</x:v>
      </x:c>
      <x:c r="E7" s="50" t="s">
        <x:v>140</x:v>
      </x:c>
      <x:c r="F7" s="2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51" t="s">
        <x:v>112</x:v>
      </x:c>
      <x:c r="B9" s="52" t="s">
        <x:v>141</x:v>
      </x:c>
      <x:c r="C9" s="53" t="s">
        <x:v>142</x:v>
      </x:c>
      <x:c r="D9" s="29" t="s">
        <x:v>143</x:v>
      </x:c>
      <x:c r="E9" s="29" t="s">
        <x:v>144</x:v>
      </x:c>
      <x:c r="F9" s="29" t="s">
        <x:v>145</x:v>
      </x:c>
      <x:c r="G9" s="29" t="s">
        <x:v>146</x:v>
      </x:c>
      <x:c r="H9" s="29" t="s">
        <x:v>147</x:v>
      </x:c>
      <x:c r="I9" s="29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4">
        <x:v>1.0</x:v>
      </x:c>
      <x:c r="B10" s="54" t="s">
        <x:v>148</x:v>
      </x:c>
      <x:c r="C10" s="55" t="str">
        <x:f t="array" ref="C10">IFS(D10="","", D10="A","NW", D10="B","NE", D10="C","SW", D10="D","SE",D10="Omit", "")</x:f>
      </x:c>
      <x:c r="D10" s="8" t="s">
        <x:v>149</x:v>
      </x:c>
      <x:c r="E10" s="56" t="str">
        <x:f t="shared" ref="E10:E129" si="1">IF(D10="","",IF(D10="A","Correct","Incorrect"))</x:f>
        <x:v>Incorrect</x:v>
      </x:c>
      <x:c r="F10" s="57">
        <x:v>180.0</x:v>
      </x:c>
      <x:c r="G10" s="58" t="s">
        <x:v>150</x:v>
      </x:c>
      <x:c r="H10" s="62" t="str">
        <x:f t="array" ref="H10">IF($G10="","",TEXTJOIN("",TRUE,MID($B10,MID($G10,SEQUENCE(LEN($G10),1),1)+0,1)))</x:f>
        <x:v>Error: #VALUE!</x:v>
      </x:c>
      <x:c r="I10" s="58" t="s">
        <x:v>151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4">
        <x:v>2.0</x:v>
      </x:c>
      <x:c r="B11" s="54" t="s">
        <x:v>152</x:v>
      </x:c>
      <x:c r="C11" s="55" t="str">
        <x:f t="array" ref="C11">IFS(D11="","", D11="A","SE", D11="B","NW", D11="C","NE", D11="D","SW",D11="Omit", "")</x:f>
        <x:v>SE</x:v>
      </x:c>
      <x:c r="D11" s="8" t="s">
        <x:v>153</x:v>
      </x:c>
      <x:c r="E11" s="63" t="str">
        <x:f t="shared" si="1"/>
        <x:v>Correct</x:v>
      </x:c>
      <x:c r="F11" s="57">
        <x:v>65.0</x:v>
      </x:c>
      <x:c r="G11" s="58" t="s">
        <x:v>154</x:v>
      </x:c>
      <x:c r="H11" s="62" t="str">
        <x:f t="array" ref="H11">IF($G11="","",TEXTJOIN("",TRUE,MID($B11,MID($G11,SEQUENCE(LEN($G11),1),1)+0,1)))</x:f>
        <x:v>Error: #VALUE!</x:v>
      </x:c>
      <x:c r="I11" s="35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4">
        <x:v>3.0</x:v>
      </x:c>
      <x:c r="B12" s="54" t="s">
        <x:v>155</x:v>
      </x:c>
      <x:c r="C12" s="55" t="str">
        <x:f t="array" ref="C12">IFS(D12="","", D12="A","SW", D12="B","SE", D12="C","NW", D12="D","NE",D12="Omit", "")</x:f>
        <x:v>SW</x:v>
      </x:c>
      <x:c r="D12" s="8" t="s">
        <x:v>153</x:v>
      </x:c>
      <x:c r="E12" s="63" t="str">
        <x:f t="shared" si="1"/>
        <x:v>Correct</x:v>
      </x:c>
      <x:c r="F12" s="57">
        <x:v>17.0</x:v>
      </x:c>
      <x:c r="G12" s="58" t="s">
        <x:v>156</x:v>
      </x:c>
      <x:c r="H12" s="62" t="str">
        <x:f t="array" ref="H12">IF($G12="","",TEXTJOIN("",TRUE,MID($B12,MID($G12,SEQUENCE(LEN($G12),1),1)+0,1)))</x:f>
        <x:v>Error: #VALUE!</x:v>
      </x:c>
      <x:c r="I12" s="66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4">
        <x:v>4.0</x:v>
      </x:c>
      <x:c r="B13" s="54" t="s">
        <x:v>157</x:v>
      </x:c>
      <x:c r="C13" s="55" t="str">
        <x:f t="array" ref="C13">IFS(D13="","", D13="A","NE", D13="B","SW", D13="C","SE", D13="D","NW",D13="Omit", "")</x:f>
        <x:v>NE</x:v>
      </x:c>
      <x:c r="D13" s="8" t="s">
        <x:v>153</x:v>
      </x:c>
      <x:c r="E13" s="63" t="str">
        <x:f t="shared" si="1"/>
        <x:v>Correct</x:v>
      </x:c>
      <x:c r="F13" s="57">
        <x:v>77.0</x:v>
      </x:c>
      <x:c r="G13" s="58" t="s">
        <x:v>158</x:v>
      </x:c>
      <x:c r="H13" s="62" t="str">
        <x:f t="array" ref="H13">IF($G13="","",TEXTJOIN("",TRUE,MID($B13,MID($G13,SEQUENCE(LEN($G13),1),1)+0,1)))</x:f>
        <x:v>Error: #VALUE!</x:v>
      </x:c>
      <x:c r="I13" s="66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4">
        <x:v>5.0</x:v>
      </x:c>
      <x:c r="B14" s="54" t="s">
        <x:v>148</x:v>
      </x:c>
      <x:c r="C14" s="55" t="str">
        <x:f t="array" ref="C14">IFS(D14="","", D14="A","NW", D14="B","NE", D14="C","SW", D14="D","SE",D14="Omit", "")</x:f>
        <x:v>NE</x:v>
      </x:c>
      <x:c r="D14" s="8" t="s">
        <x:v>159</x:v>
      </x:c>
      <x:c r="E14" s="56" t="str">
        <x:f t="shared" si="1"/>
        <x:v>Incorrect</x:v>
      </x:c>
      <x:c r="F14" s="57">
        <x:v>100.0</x:v>
      </x:c>
      <x:c r="G14" s="58" t="s">
        <x:v>160</x:v>
      </x:c>
      <x:c r="H14" s="62" t="str">
        <x:f t="array" ref="H14">IF($G14="","",TEXTJOIN("",TRUE,MID($B14,MID($G14,SEQUENCE(LEN($G14),1),1)+0,1)))</x:f>
        <x:v>Error: #VALUE!</x:v>
      </x:c>
      <x:c r="I14" s="66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4">
        <x:v>6.0</x:v>
      </x:c>
      <x:c r="B15" s="54" t="s">
        <x:v>152</x:v>
      </x:c>
      <x:c r="C15" s="55" t="str">
        <x:f t="array" ref="C15">IFS(D15="","", D15="A","SE", D15="B","NW", D15="C","NE", D15="D","SW",D15="Omit", "")</x:f>
        <x:v>SE</x:v>
      </x:c>
      <x:c r="D15" s="8" t="s">
        <x:v>153</x:v>
      </x:c>
      <x:c r="E15" s="63" t="str">
        <x:f t="shared" si="1"/>
        <x:v>Correct</x:v>
      </x:c>
      <x:c r="F15" s="57">
        <x:v>28.0</x:v>
      </x:c>
      <x:c r="G15" s="58" t="s">
        <x:v>161</x:v>
      </x:c>
      <x:c r="H15" s="62" t="str">
        <x:f t="array" ref="H15">IF($G15="","",TEXTJOIN("",TRUE,MID($B15,MID($G15,SEQUENCE(LEN($G15),1),1)+0,1)))</x:f>
        <x:v>Error: #VALUE!</x:v>
      </x:c>
      <x:c r="I15" s="66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4">
        <x:v>7.0</x:v>
      </x:c>
      <x:c r="B16" s="54" t="s">
        <x:v>155</x:v>
      </x:c>
      <x:c r="C16" s="55" t="str">
        <x:f t="array" ref="C16">IFS(D16="","", D16="A","SW", D16="B","SE", D16="C","NW", D16="D","NE",D16="Omit", "")</x:f>
        <x:v>SW</x:v>
      </x:c>
      <x:c r="D16" s="8" t="s">
        <x:v>153</x:v>
      </x:c>
      <x:c r="E16" s="63" t="str">
        <x:f t="shared" si="1"/>
        <x:v>Correct</x:v>
      </x:c>
      <x:c r="F16" s="57">
        <x:v>14.0</x:v>
      </x:c>
      <x:c r="G16" s="58" t="s">
        <x:v>162</x:v>
      </x:c>
      <x:c r="H16" s="62" t="str">
        <x:f t="array" ref="H16">IF($G16="","",TEXTJOIN("",TRUE,MID($B16,MID($G16,SEQUENCE(LEN($G16),1),1)+0,1)))</x:f>
        <x:v>Error: #VALUE!</x:v>
      </x:c>
      <x:c r="I16" s="58" t="s">
        <x:v>163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4">
        <x:v>8.0</x:v>
      </x:c>
      <x:c r="B17" s="54" t="s">
        <x:v>157</x:v>
      </x:c>
      <x:c r="C17" s="55" t="str">
        <x:f t="array" ref="C17">IFS(D17="","", D17="A","NE", D17="B","SW", D17="C","SE", D17="D","NW",D17="Omit", "")</x:f>
        <x:v>NE</x:v>
      </x:c>
      <x:c r="D17" s="8" t="s">
        <x:v>153</x:v>
      </x:c>
      <x:c r="E17" s="63" t="str">
        <x:f t="shared" si="1"/>
        <x:v>Correct</x:v>
      </x:c>
      <x:c r="F17" s="57">
        <x:v>35.0</x:v>
      </x:c>
      <x:c r="G17" s="58" t="s">
        <x:v>164</x:v>
      </x:c>
      <x:c r="H17" s="62" t="str">
        <x:f t="array" ref="H17">IF($G17="","",TEXTJOIN("",TRUE,MID($B17,MID($G17,SEQUENCE(LEN($G17),1),1)+0,1)))</x:f>
        <x:v>Error: #VALUE!</x:v>
      </x:c>
      <x:c r="I17" s="66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4">
        <x:v>9.0</x:v>
      </x:c>
      <x:c r="B18" s="54" t="s">
        <x:v>148</x:v>
      </x:c>
      <x:c r="C18" s="55" t="str">
        <x:f t="array" ref="C18">IFS(D18="","", D18="A","NW", D18="B","NE", D18="C","SW", D18="D","SE",D18="Omit", "")</x:f>
        <x:v>NW</x:v>
      </x:c>
      <x:c r="D18" s="8" t="s">
        <x:v>153</x:v>
      </x:c>
      <x:c r="E18" s="63" t="str">
        <x:f t="shared" si="1"/>
        <x:v>Correct</x:v>
      </x:c>
      <x:c r="F18" s="57">
        <x:v>10.0</x:v>
      </x:c>
      <x:c r="G18" s="58" t="s">
        <x:v>165</x:v>
      </x:c>
      <x:c r="H18" s="62" t="str">
        <x:f t="array" ref="H18">IF($G18="","",TEXTJOIN("",TRUE,MID($B18,MID($G18,SEQUENCE(LEN($G18),1),1)+0,1)))</x:f>
        <x:v>Error: #VALUE!</x:v>
      </x:c>
      <x:c r="I18" s="66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4">
        <x:v>10.0</x:v>
      </x:c>
      <x:c r="B19" s="54" t="s">
        <x:v>152</x:v>
      </x:c>
      <x:c r="C19" s="55" t="str">
        <x:f t="array" ref="C19">IFS(D19="","", D19="A","SE", D19="B","NW", D19="C","NE", D19="D","SW",D19="Omit", "")</x:f>
        <x:v>SW</x:v>
      </x:c>
      <x:c r="D19" s="8" t="s">
        <x:v>166</x:v>
      </x:c>
      <x:c r="E19" s="56" t="str">
        <x:f t="shared" si="1"/>
        <x:v>Incorrect</x:v>
      </x:c>
      <x:c r="F19" s="57">
        <x:v>28.0</x:v>
      </x:c>
      <x:c r="G19" s="58" t="s">
        <x:v>167</x:v>
      </x:c>
      <x:c r="H19" s="62" t="str">
        <x:f t="array" ref="H19">IF($G19="","",TEXTJOIN("",TRUE,MID($B19,MID($G19,SEQUENCE(LEN($G19),1),1)+0,1)))</x:f>
        <x:v>Error: #VALUE!</x:v>
      </x:c>
      <x:c r="I19" s="66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4">
        <x:v>11.0</x:v>
      </x:c>
      <x:c r="B20" s="54" t="s">
        <x:v>155</x:v>
      </x:c>
      <x:c r="C20" s="55" t="str">
        <x:f t="array" ref="C20">IFS(D20="","", D20="A","SW", D20="B","SE", D20="C","NW", D20="D","NE",D20="Omit", "")</x:f>
        <x:v>SW</x:v>
      </x:c>
      <x:c r="D20" s="8" t="s">
        <x:v>153</x:v>
      </x:c>
      <x:c r="E20" s="63" t="str">
        <x:f t="shared" si="1"/>
        <x:v>Correct</x:v>
      </x:c>
      <x:c r="F20" s="57">
        <x:v>72.0</x:v>
      </x:c>
      <x:c r="G20" s="58" t="s">
        <x:v>168</x:v>
      </x:c>
      <x:c r="H20" s="62" t="str">
        <x:f t="array" ref="H20">IF($G20="","",TEXTJOIN("",TRUE,MID($B20,MID($G20,SEQUENCE(LEN($G20),1),1)+0,1)))</x:f>
        <x:v>Error: #VALUE!</x:v>
      </x:c>
      <x:c r="I20" s="58" t="s">
        <x:v>130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4">
        <x:v>12.0</x:v>
      </x:c>
      <x:c r="B21" s="54" t="s">
        <x:v>157</x:v>
      </x:c>
      <x:c r="C21" s="55" t="str">
        <x:f t="array" ref="C21">IFS(D21="","", D21="A","NE", D21="B","SW", D21="C","SE", D21="D","NW",D21="Omit", "")</x:f>
      </x:c>
      <x:c r="D21" s="70"/>
      <x:c r="E21" s="26" t="str">
        <x:f t="shared" si="1"/>
      </x:c>
      <x:c r="F21" s="74"/>
      <x:c r="G21" s="67"/>
      <x:c r="H21" s="26" t="str">
        <x:f t="array" ref="H21">IF($G21="","",TEXTJOIN("",TRUE,MID($B21,MID($G21,SEQUENCE(LEN($G21),1),1)+0,1)))</x:f>
      </x:c>
      <x:c r="I21" s="67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4">
        <x:v>13.0</x:v>
      </x:c>
      <x:c r="B22" s="54" t="s">
        <x:v>148</x:v>
      </x:c>
      <x:c r="C22" s="55" t="str">
        <x:f t="array" ref="C22">IFS(D22="","", D22="A","NW", D22="B","NE", D22="C","SW", D22="D","SE",D22="Omit", "")</x:f>
      </x:c>
      <x:c r="D22" s="70"/>
      <x:c r="E22" s="26" t="str">
        <x:f t="shared" si="1"/>
      </x:c>
      <x:c r="F22" s="74"/>
      <x:c r="G22" s="67"/>
      <x:c r="H22" s="26" t="str">
        <x:f t="array" ref="H22">IF($G22="","",TEXTJOIN("",TRUE,MID($B22,MID($G22,SEQUENCE(LEN($G22),1),1)+0,1)))</x:f>
      </x:c>
      <x:c r="I22" s="67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4">
        <x:v>14.0</x:v>
      </x:c>
      <x:c r="B23" s="54" t="s">
        <x:v>152</x:v>
      </x:c>
      <x:c r="C23" s="55" t="str">
        <x:f t="array" ref="C23">IFS(D23="","", D23="A","SE", D23="B","NW", D23="C","NE", D23="D","SW",D23="Omit", "")</x:f>
      </x:c>
      <x:c r="D23" s="70"/>
      <x:c r="E23" s="26" t="str">
        <x:f t="shared" si="1"/>
      </x:c>
      <x:c r="F23" s="74"/>
      <x:c r="G23" s="67"/>
      <x:c r="H23" s="26" t="str">
        <x:f t="array" ref="H23">IF($G23="","",TEXTJOIN("",TRUE,MID($B23,MID($G23,SEQUENCE(LEN($G23),1),1)+0,1)))</x:f>
      </x:c>
      <x:c r="I23" s="67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4">
        <x:v>15.0</x:v>
      </x:c>
      <x:c r="B24" s="54" t="s">
        <x:v>155</x:v>
      </x:c>
      <x:c r="C24" s="55" t="str">
        <x:f t="array" ref="C24">IFS(D24="","", D24="A","SW", D24="B","SE", D24="C","NW", D24="D","NE",D24="Omit", "")</x:f>
      </x:c>
      <x:c r="D24" s="70"/>
      <x:c r="E24" s="26" t="str">
        <x:f t="shared" si="1"/>
      </x:c>
      <x:c r="F24" s="74"/>
      <x:c r="G24" s="67"/>
      <x:c r="H24" s="26" t="str">
        <x:f t="array" ref="H24">IF($G24="","",TEXTJOIN("",TRUE,MID($B24,MID($G24,SEQUENCE(LEN($G24),1),1)+0,1)))</x:f>
      </x:c>
      <x:c r="I24" s="67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4">
        <x:v>16.0</x:v>
      </x:c>
      <x:c r="B25" s="54" t="s">
        <x:v>157</x:v>
      </x:c>
      <x:c r="C25" s="55" t="str">
        <x:f t="array" ref="C25">IFS(D25="","", D25="A","NE", D25="B","SW", D25="C","SE", D25="D","NW",D25="Omit", "")</x:f>
      </x:c>
      <x:c r="D25" s="70"/>
      <x:c r="E25" s="26" t="str">
        <x:f t="shared" si="1"/>
      </x:c>
      <x:c r="F25" s="74"/>
      <x:c r="G25" s="67"/>
      <x:c r="H25" s="26" t="str">
        <x:f t="array" ref="H25">IF($G25="","",TEXTJOIN("",TRUE,MID($B25,MID($G25,SEQUENCE(LEN($G25),1),1)+0,1)))</x:f>
      </x:c>
      <x:c r="I25" s="67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4">
        <x:v>17.0</x:v>
      </x:c>
      <x:c r="B26" s="54" t="s">
        <x:v>148</x:v>
      </x:c>
      <x:c r="C26" s="55" t="str">
        <x:f t="array" ref="C26">IFS(D26="","", D26="A","NW", D26="B","NE", D26="C","SW", D26="D","SE",D26="Omit", "")</x:f>
      </x:c>
      <x:c r="D26" s="70"/>
      <x:c r="E26" s="26" t="str">
        <x:f t="shared" si="1"/>
      </x:c>
      <x:c r="F26" s="74"/>
      <x:c r="G26" s="67"/>
      <x:c r="H26" s="26" t="str">
        <x:f t="array" ref="H26">IF($G26="","",TEXTJOIN("",TRUE,MID($B26,MID($G26,SEQUENCE(LEN($G26),1),1)+0,1)))</x:f>
      </x:c>
      <x:c r="I26" s="67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4">
        <x:v>18.0</x:v>
      </x:c>
      <x:c r="B27" s="54" t="s">
        <x:v>152</x:v>
      </x:c>
      <x:c r="C27" s="55" t="str">
        <x:f t="array" ref="C27">IFS(D27="","", D27="A","SE", D27="B","NW", D27="C","NE", D27="D","SW",D27="Omit", "")</x:f>
      </x:c>
      <x:c r="D27" s="70"/>
      <x:c r="E27" s="26" t="str">
        <x:f t="shared" si="1"/>
      </x:c>
      <x:c r="F27" s="74"/>
      <x:c r="G27" s="67"/>
      <x:c r="H27" s="26" t="str">
        <x:f t="array" ref="H27">IF($G27="","",TEXTJOIN("",TRUE,MID($B27,MID($G27,SEQUENCE(LEN($G27),1),1)+0,1)))</x:f>
      </x:c>
      <x:c r="I27" s="67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4">
        <x:v>19.0</x:v>
      </x:c>
      <x:c r="B28" s="54" t="s">
        <x:v>155</x:v>
      </x:c>
      <x:c r="C28" s="55" t="str">
        <x:f t="array" ref="C28">IFS(D28="","", D28="A","SW", D28="B","SE", D28="C","NW", D28="D","NE",D28="Omit", "")</x:f>
      </x:c>
      <x:c r="D28" s="70"/>
      <x:c r="E28" s="26" t="str">
        <x:f t="shared" si="1"/>
      </x:c>
      <x:c r="F28" s="74"/>
      <x:c r="G28" s="67"/>
      <x:c r="H28" s="26" t="str">
        <x:f t="array" ref="H28">IF($G28="","",TEXTJOIN("",TRUE,MID($B28,MID($G28,SEQUENCE(LEN($G28),1),1)+0,1)))</x:f>
      </x:c>
      <x:c r="I28" s="67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4">
        <x:v>20.0</x:v>
      </x:c>
      <x:c r="B29" s="54" t="s">
        <x:v>157</x:v>
      </x:c>
      <x:c r="C29" s="55" t="str">
        <x:f t="array" ref="C29">IFS(D29="","", D29="A","NE", D29="B","SW", D29="C","SE", D29="D","NW",D29="Omit", "")</x:f>
      </x:c>
      <x:c r="D29" s="70"/>
      <x:c r="E29" s="26" t="str">
        <x:f t="shared" si="1"/>
      </x:c>
      <x:c r="F29" s="74"/>
      <x:c r="G29" s="67"/>
      <x:c r="H29" s="26" t="str">
        <x:f t="array" ref="H29">IF($G29="","",TEXTJOIN("",TRUE,MID($B29,MID($G29,SEQUENCE(LEN($G29),1),1)+0,1)))</x:f>
      </x:c>
      <x:c r="I29" s="67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4">
        <x:v>21.0</x:v>
      </x:c>
      <x:c r="B30" s="54" t="s">
        <x:v>148</x:v>
      </x:c>
      <x:c r="C30" s="55" t="str">
        <x:f t="array" ref="C30">IFS(D30="","", D30="A","NW", D30="B","NE", D30="C","SW", D30="D","SE",D30="Omit", "")</x:f>
      </x:c>
      <x:c r="D30" s="70"/>
      <x:c r="E30" s="26" t="str">
        <x:f t="shared" si="1"/>
      </x:c>
      <x:c r="F30" s="74"/>
      <x:c r="G30" s="67"/>
      <x:c r="H30" s="26" t="str">
        <x:f t="array" ref="H30">IF($G30="","",TEXTJOIN("",TRUE,MID($B30,MID($G30,SEQUENCE(LEN($G30),1),1)+0,1)))</x:f>
      </x:c>
      <x:c r="I30" s="67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4">
        <x:v>22.0</x:v>
      </x:c>
      <x:c r="B31" s="54" t="s">
        <x:v>152</x:v>
      </x:c>
      <x:c r="C31" s="55" t="str">
        <x:f t="array" ref="C31">IFS(D31="","", D31="A","SE", D31="B","NW", D31="C","NE", D31="D","SW",D31="Omit", "")</x:f>
      </x:c>
      <x:c r="D31" s="70"/>
      <x:c r="E31" s="26" t="str">
        <x:f t="shared" si="1"/>
      </x:c>
      <x:c r="F31" s="74"/>
      <x:c r="G31" s="67"/>
      <x:c r="H31" s="26" t="str">
        <x:f t="array" ref="H31">IF($G31="","",TEXTJOIN("",TRUE,MID($B31,MID($G31,SEQUENCE(LEN($G31),1),1)+0,1)))</x:f>
      </x:c>
      <x:c r="I31" s="67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4">
        <x:v>23.0</x:v>
      </x:c>
      <x:c r="B32" s="54" t="s">
        <x:v>155</x:v>
      </x:c>
      <x:c r="C32" s="55" t="str">
        <x:f t="array" ref="C32">IFS(D32="","", D32="A","SW", D32="B","SE", D32="C","NW", D32="D","NE",D32="Omit", "")</x:f>
      </x:c>
      <x:c r="D32" s="70"/>
      <x:c r="E32" s="26" t="str">
        <x:f t="shared" si="1"/>
      </x:c>
      <x:c r="F32" s="74"/>
      <x:c r="G32" s="67"/>
      <x:c r="H32" s="26" t="str">
        <x:f t="array" ref="H32">IF($G32="","",TEXTJOIN("",TRUE,MID($B32,MID($G32,SEQUENCE(LEN($G32),1),1)+0,1)))</x:f>
      </x:c>
      <x:c r="I32" s="67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4">
        <x:v>24.0</x:v>
      </x:c>
      <x:c r="B33" s="54" t="s">
        <x:v>157</x:v>
      </x:c>
      <x:c r="C33" s="55" t="str">
        <x:f t="array" ref="C33">IFS(D33="","", D33="A","NE", D33="B","SW", D33="C","SE", D33="D","NW",D33="Omit", "")</x:f>
      </x:c>
      <x:c r="D33" s="70"/>
      <x:c r="E33" s="26" t="str">
        <x:f t="shared" si="1"/>
      </x:c>
      <x:c r="F33" s="74"/>
      <x:c r="G33" s="67"/>
      <x:c r="H33" s="26" t="str">
        <x:f t="array" ref="H33">IF($G33="","",TEXTJOIN("",TRUE,MID($B33,MID($G33,SEQUENCE(LEN($G33),1),1)+0,1)))</x:f>
      </x:c>
      <x:c r="I33" s="67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4">
        <x:v>25.0</x:v>
      </x:c>
      <x:c r="B34" s="54" t="s">
        <x:v>148</x:v>
      </x:c>
      <x:c r="C34" s="55" t="str">
        <x:f t="array" ref="C34">IFS(D34="","", D34="A","NW", D34="B","NE", D34="C","SW", D34="D","SE",D34="Omit", "")</x:f>
      </x:c>
      <x:c r="D34" s="70"/>
      <x:c r="E34" s="26" t="str">
        <x:f t="shared" si="1"/>
      </x:c>
      <x:c r="F34" s="74"/>
      <x:c r="G34" s="67"/>
      <x:c r="H34" s="26" t="str">
        <x:f t="array" ref="H34">IF($G34="","",TEXTJOIN("",TRUE,MID($B34,MID($G34,SEQUENCE(LEN($G34),1),1)+0,1)))</x:f>
      </x:c>
      <x:c r="I34" s="67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4">
        <x:v>26.0</x:v>
      </x:c>
      <x:c r="B35" s="54" t="s">
        <x:v>152</x:v>
      </x:c>
      <x:c r="C35" s="55" t="str">
        <x:f t="array" ref="C35">IFS(D35="","", D35="A","SE", D35="B","NW", D35="C","NE", D35="D","SW",D35="Omit", "")</x:f>
      </x:c>
      <x:c r="D35" s="70"/>
      <x:c r="E35" s="26" t="str">
        <x:f t="shared" si="1"/>
      </x:c>
      <x:c r="F35" s="74"/>
      <x:c r="G35" s="67"/>
      <x:c r="H35" s="26" t="str">
        <x:f t="array" ref="H35">IF($G35="","",TEXTJOIN("",TRUE,MID($B35,MID($G35,SEQUENCE(LEN($G35),1),1)+0,1)))</x:f>
      </x:c>
      <x:c r="I35" s="67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4">
        <x:v>27.0</x:v>
      </x:c>
      <x:c r="B36" s="54" t="s">
        <x:v>155</x:v>
      </x:c>
      <x:c r="C36" s="55" t="str">
        <x:f t="array" ref="C36">IFS(D36="","", D36="A","SW", D36="B","SE", D36="C","NW", D36="D","NE",D36="Omit", "")</x:f>
      </x:c>
      <x:c r="D36" s="70"/>
      <x:c r="E36" s="26" t="str">
        <x:f t="shared" si="1"/>
      </x:c>
      <x:c r="F36" s="74"/>
      <x:c r="G36" s="67"/>
      <x:c r="H36" s="26" t="str">
        <x:f t="array" ref="H36">IF($G36="","",TEXTJOIN("",TRUE,MID($B36,MID($G36,SEQUENCE(LEN($G36),1),1)+0,1)))</x:f>
      </x:c>
      <x:c r="I36" s="67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4">
        <x:v>28.0</x:v>
      </x:c>
      <x:c r="B37" s="54" t="s">
        <x:v>157</x:v>
      </x:c>
      <x:c r="C37" s="55" t="str">
        <x:f t="array" ref="C37">IFS(D37="","", D37="A","NE", D37="B","SW", D37="C","SE", D37="D","NW",D37="Omit", "")</x:f>
      </x:c>
      <x:c r="D37" s="70"/>
      <x:c r="E37" s="26" t="str">
        <x:f t="shared" si="1"/>
      </x:c>
      <x:c r="F37" s="74"/>
      <x:c r="G37" s="67"/>
      <x:c r="H37" s="26" t="str">
        <x:f t="array" ref="H37">IF($G37="","",TEXTJOIN("",TRUE,MID($B37,MID($G37,SEQUENCE(LEN($G37),1),1)+0,1)))</x:f>
      </x:c>
      <x:c r="I37" s="67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4">
        <x:v>29.0</x:v>
      </x:c>
      <x:c r="B38" s="54" t="s">
        <x:v>148</x:v>
      </x:c>
      <x:c r="C38" s="55" t="str">
        <x:f t="array" ref="C38">IFS(D38="","", D38="A","NW", D38="B","NE", D38="C","SW", D38="D","SE",D38="Omit", "")</x:f>
      </x:c>
      <x:c r="D38" s="70"/>
      <x:c r="E38" s="26" t="str">
        <x:f t="shared" si="1"/>
      </x:c>
      <x:c r="F38" s="74"/>
      <x:c r="G38" s="67"/>
      <x:c r="H38" s="26" t="str">
        <x:f t="array" ref="H38">IF($G38="","",TEXTJOIN("",TRUE,MID($B38,MID($G38,SEQUENCE(LEN($G38),1),1)+0,1)))</x:f>
      </x:c>
      <x:c r="I38" s="67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4">
        <x:v>30.0</x:v>
      </x:c>
      <x:c r="B39" s="54" t="s">
        <x:v>152</x:v>
      </x:c>
      <x:c r="C39" s="55" t="str">
        <x:f t="array" ref="C39">IFS(D39="","", D39="A","SE", D39="B","NW", D39="C","NE", D39="D","SW",D39="Omit", "")</x:f>
      </x:c>
      <x:c r="D39" s="70"/>
      <x:c r="E39" s="26" t="str">
        <x:f t="shared" si="1"/>
      </x:c>
      <x:c r="F39" s="75"/>
      <x:c r="G39" s="67"/>
      <x:c r="H39" s="26" t="str">
        <x:f t="array" ref="H39">IF($G39="","",TEXTJOIN("",TRUE,MID($B39,MID($G39,SEQUENCE(LEN($G39),1),1)+0,1)))</x:f>
      </x:c>
      <x:c r="I39" s="67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4">
        <x:v>31.0</x:v>
      </x:c>
      <x:c r="B40" s="54" t="s">
        <x:v>155</x:v>
      </x:c>
      <x:c r="C40" s="55" t="str">
        <x:f t="array" ref="C40">IFS(D40="","", D40="A","NW", D40="B","NE", D40="C","SW", D40="D","SE",D40="Omit", "")</x:f>
      </x:c>
      <x:c r="D40" s="70"/>
      <x:c r="E40" s="26" t="str">
        <x:f t="shared" si="1"/>
      </x:c>
      <x:c r="F40" s="76"/>
      <x:c r="G40" s="67"/>
      <x:c r="H40" s="26" t="str">
        <x:f t="array" ref="H40">IF($G40="","",TEXTJOIN("",TRUE,MID($B40,MID($G40,SEQUENCE(LEN($G40),1),1)+0,1)))</x:f>
      </x:c>
      <x:c r="I40" s="67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4">
        <x:v>32.0</x:v>
      </x:c>
      <x:c r="B41" s="54" t="s">
        <x:v>157</x:v>
      </x:c>
      <x:c r="C41" s="55" t="str">
        <x:f t="array" ref="C41">IFS(D41="","", D41="A","SE", D41="B","NW", D41="C","NE", D41="D","SW",D41="Omit", "")</x:f>
      </x:c>
      <x:c r="D41" s="70"/>
      <x:c r="E41" s="26" t="str">
        <x:f t="shared" si="1"/>
      </x:c>
      <x:c r="F41" s="76"/>
      <x:c r="G41" s="67"/>
      <x:c r="H41" s="26" t="str">
        <x:f t="array" ref="H41">IF($G41="","",TEXTJOIN("",TRUE,MID($B41,MID($G41,SEQUENCE(LEN($G41),1),1)+0,1)))</x:f>
      </x:c>
      <x:c r="I41" s="67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4">
        <x:v>33.0</x:v>
      </x:c>
      <x:c r="B42" s="54" t="s">
        <x:v>148</x:v>
      </x:c>
      <x:c r="C42" s="55" t="str">
        <x:f t="array" ref="C42">IFS(D42="","", D42="A","SW", D42="B","SE", D42="C","NW", D42="D","NE",D42="Omit", "")</x:f>
      </x:c>
      <x:c r="D42" s="70"/>
      <x:c r="E42" s="26" t="str">
        <x:f t="shared" si="1"/>
      </x:c>
      <x:c r="F42" s="76"/>
      <x:c r="G42" s="67"/>
      <x:c r="H42" s="26" t="str">
        <x:f t="array" ref="H42">IF($G42="","",TEXTJOIN("",TRUE,MID($B42,MID($G42,SEQUENCE(LEN($G42),1),1)+0,1)))</x:f>
      </x:c>
      <x:c r="I42" s="67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4">
        <x:v>34.0</x:v>
      </x:c>
      <x:c r="B43" s="54" t="s">
        <x:v>152</x:v>
      </x:c>
      <x:c r="C43" s="55" t="str">
        <x:f t="array" ref="C43">IFS(D43="","", D43="A","NE", D43="B","SW", D43="C","SE", D43="D","NW",D43="Omit", "")</x:f>
      </x:c>
      <x:c r="D43" s="70"/>
      <x:c r="E43" s="26" t="str">
        <x:f t="shared" si="1"/>
      </x:c>
      <x:c r="F43" s="76"/>
      <x:c r="G43" s="67"/>
      <x:c r="H43" s="26" t="str">
        <x:f t="array" ref="H43">IF($G43="","",TEXTJOIN("",TRUE,MID($B43,MID($G43,SEQUENCE(LEN($G43),1),1)+0,1)))</x:f>
      </x:c>
      <x:c r="I43" s="67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4">
        <x:v>35.0</x:v>
      </x:c>
      <x:c r="B44" s="54" t="s">
        <x:v>155</x:v>
      </x:c>
      <x:c r="C44" s="55" t="str">
        <x:f t="array" ref="C44">IFS(D44="","", D44="A","NW", D44="B","NE", D44="C","SW", D44="D","SE",D44="Omit", "")</x:f>
      </x:c>
      <x:c r="D44" s="70"/>
      <x:c r="E44" s="26" t="str">
        <x:f t="shared" si="1"/>
      </x:c>
      <x:c r="F44" s="76"/>
      <x:c r="G44" s="67"/>
      <x:c r="H44" s="26" t="str">
        <x:f t="array" ref="H44">IF($G44="","",TEXTJOIN("",TRUE,MID($B44,MID($G44,SEQUENCE(LEN($G44),1),1)+0,1)))</x:f>
      </x:c>
      <x:c r="I44" s="67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4">
        <x:v>36.0</x:v>
      </x:c>
      <x:c r="B45" s="54" t="s">
        <x:v>157</x:v>
      </x:c>
      <x:c r="C45" s="55" t="str">
        <x:f t="array" ref="C45">IFS(D45="","", D45="A","SE", D45="B","NW", D45="C","NE", D45="D","SW",D45="Omit", "")</x:f>
      </x:c>
      <x:c r="D45" s="70"/>
      <x:c r="E45" s="26" t="str">
        <x:f t="shared" si="1"/>
      </x:c>
      <x:c r="F45" s="76"/>
      <x:c r="G45" s="67"/>
      <x:c r="H45" s="26" t="str">
        <x:f t="array" ref="H45">IF($G45="","",TEXTJOIN("",TRUE,MID($B45,MID($G45,SEQUENCE(LEN($G45),1),1)+0,1)))</x:f>
      </x:c>
      <x:c r="I45" s="67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4">
        <x:v>37.0</x:v>
      </x:c>
      <x:c r="B46" s="54" t="s">
        <x:v>148</x:v>
      </x:c>
      <x:c r="C46" s="55" t="str">
        <x:f t="array" ref="C46">IFS(D46="","", D46="A","SW", D46="B","SE", D46="C","NW", D46="D","NE",D46="Omit", "")</x:f>
      </x:c>
      <x:c r="D46" s="70"/>
      <x:c r="E46" s="26" t="str">
        <x:f t="shared" si="1"/>
      </x:c>
      <x:c r="F46" s="76"/>
      <x:c r="G46" s="67"/>
      <x:c r="H46" s="26" t="str">
        <x:f t="array" ref="H46">IF($G46="","",TEXTJOIN("",TRUE,MID($B46,MID($G46,SEQUENCE(LEN($G46),1),1)+0,1)))</x:f>
      </x:c>
      <x:c r="I46" s="67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4">
        <x:v>38.0</x:v>
      </x:c>
      <x:c r="B47" s="54" t="s">
        <x:v>152</x:v>
      </x:c>
      <x:c r="C47" s="55" t="str">
        <x:f t="array" ref="C47">IFS(D47="","", D47="A","NE", D47="B","SW", D47="C","SE", D47="D","NW",D47="Omit", "")</x:f>
      </x:c>
      <x:c r="D47" s="70"/>
      <x:c r="E47" s="26" t="str">
        <x:f t="shared" si="1"/>
      </x:c>
      <x:c r="F47" s="76"/>
      <x:c r="G47" s="67"/>
      <x:c r="H47" s="26" t="str">
        <x:f t="array" ref="H47">IF($G47="","",TEXTJOIN("",TRUE,MID($B47,MID($G47,SEQUENCE(LEN($G47),1),1)+0,1)))</x:f>
      </x:c>
      <x:c r="I47" s="67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4">
        <x:v>39.0</x:v>
      </x:c>
      <x:c r="B48" s="54" t="s">
        <x:v>155</x:v>
      </x:c>
      <x:c r="C48" s="55" t="str">
        <x:f t="array" ref="C48">IFS(D48="","", D48="A","NW", D48="B","NE", D48="C","SW", D48="D","SE",D48="Omit", "")</x:f>
      </x:c>
      <x:c r="D48" s="70"/>
      <x:c r="E48" s="26" t="str">
        <x:f t="shared" si="1"/>
      </x:c>
      <x:c r="F48" s="76"/>
      <x:c r="G48" s="67"/>
      <x:c r="H48" s="26" t="str">
        <x:f t="array" ref="H48">IF($G48="","",TEXTJOIN("",TRUE,MID($B48,MID($G48,SEQUENCE(LEN($G48),1),1)+0,1)))</x:f>
      </x:c>
      <x:c r="I48" s="67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4">
        <x:v>40.0</x:v>
      </x:c>
      <x:c r="B49" s="54" t="s">
        <x:v>157</x:v>
      </x:c>
      <x:c r="C49" s="55" t="str">
        <x:f t="array" ref="C49">IFS(D49="","", D49="A","SE", D49="B","NW", D49="C","NE", D49="D","SW",D49="Omit", "")</x:f>
      </x:c>
      <x:c r="D49" s="70"/>
      <x:c r="E49" s="26" t="str">
        <x:f t="shared" si="1"/>
      </x:c>
      <x:c r="F49" s="76"/>
      <x:c r="G49" s="67"/>
      <x:c r="H49" s="26" t="str">
        <x:f t="array" ref="H49">IF($G49="","",TEXTJOIN("",TRUE,MID($B49,MID($G49,SEQUENCE(LEN($G49),1),1)+0,1)))</x:f>
      </x:c>
      <x:c r="I49" s="67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4">
        <x:v>41.0</x:v>
      </x:c>
      <x:c r="B50" s="54" t="s">
        <x:v>148</x:v>
      </x:c>
      <x:c r="C50" s="55" t="str">
        <x:f t="array" ref="C50">IFS(D50="","", D50="A","SW", D50="B","SE", D50="C","NW", D50="D","NE",D50="Omit", "")</x:f>
      </x:c>
      <x:c r="D50" s="70"/>
      <x:c r="E50" s="26" t="str">
        <x:f t="shared" si="1"/>
      </x:c>
      <x:c r="F50" s="76"/>
      <x:c r="G50" s="67"/>
      <x:c r="H50" s="26" t="str">
        <x:f t="array" ref="H50">IF($G50="","",TEXTJOIN("",TRUE,MID($B50,MID($G50,SEQUENCE(LEN($G50),1),1)+0,1)))</x:f>
      </x:c>
      <x:c r="I50" s="67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4">
        <x:v>42.0</x:v>
      </x:c>
      <x:c r="B51" s="54" t="s">
        <x:v>152</x:v>
      </x:c>
      <x:c r="C51" s="55" t="str">
        <x:f t="array" ref="C51">IFS(D51="","", D51="A","NE", D51="B","SW", D51="C","SE", D51="D","NW",D51="Omit", "")</x:f>
      </x:c>
      <x:c r="D51" s="70"/>
      <x:c r="E51" s="26" t="str">
        <x:f t="shared" si="1"/>
      </x:c>
      <x:c r="F51" s="76"/>
      <x:c r="G51" s="67"/>
      <x:c r="H51" s="26" t="str">
        <x:f t="array" ref="H51">IF($G51="","",TEXTJOIN("",TRUE,MID($B51,MID($G51,SEQUENCE(LEN($G51),1),1)+0,1)))</x:f>
      </x:c>
      <x:c r="I51" s="67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4">
        <x:v>43.0</x:v>
      </x:c>
      <x:c r="B52" s="54" t="s">
        <x:v>155</x:v>
      </x:c>
      <x:c r="C52" s="55" t="str">
        <x:f t="array" ref="C52">IFS(D52="","", D52="A","NW", D52="B","NE", D52="C","SW", D52="D","SE",D52="Omit", "")</x:f>
      </x:c>
      <x:c r="D52" s="70"/>
      <x:c r="E52" s="26" t="str">
        <x:f t="shared" si="1"/>
      </x:c>
      <x:c r="F52" s="76"/>
      <x:c r="G52" s="67"/>
      <x:c r="H52" s="26" t="str">
        <x:f t="array" ref="H52">IF($G52="","",TEXTJOIN("",TRUE,MID($B52,MID($G52,SEQUENCE(LEN($G52),1),1)+0,1)))</x:f>
      </x:c>
      <x:c r="I52" s="6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4">
        <x:v>44.0</x:v>
      </x:c>
      <x:c r="B53" s="54" t="s">
        <x:v>157</x:v>
      </x:c>
      <x:c r="C53" s="55" t="str">
        <x:f t="array" ref="C53">IFS(D53="","", D53="A","SE", D53="B","NW", D53="C","NE", D53="D","SW",D53="Omit", "")</x:f>
      </x:c>
      <x:c r="D53" s="70"/>
      <x:c r="E53" s="26" t="str">
        <x:f t="shared" si="1"/>
      </x:c>
      <x:c r="F53" s="76"/>
      <x:c r="G53" s="67"/>
      <x:c r="H53" s="26" t="str">
        <x:f t="array" ref="H53">IF($G53="","",TEXTJOIN("",TRUE,MID($B53,MID($G53,SEQUENCE(LEN($G53),1),1)+0,1)))</x:f>
      </x:c>
      <x:c r="I53" s="6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4">
        <x:v>45.0</x:v>
      </x:c>
      <x:c r="B54" s="54" t="s">
        <x:v>148</x:v>
      </x:c>
      <x:c r="C54" s="55" t="str">
        <x:f t="array" ref="C54">IFS(D54="","", D54="A","SW", D54="B","SE", D54="C","NW", D54="D","NE",D54="Omit", "")</x:f>
      </x:c>
      <x:c r="D54" s="70"/>
      <x:c r="E54" s="26" t="str">
        <x:f t="shared" si="1"/>
      </x:c>
      <x:c r="F54" s="76"/>
      <x:c r="G54" s="67"/>
      <x:c r="H54" s="26" t="str">
        <x:f t="array" ref="H54">IF($G54="","",TEXTJOIN("",TRUE,MID($B54,MID($G54,SEQUENCE(LEN($G54),1),1)+0,1)))</x:f>
      </x:c>
      <x:c r="I54" s="6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4">
        <x:v>46.0</x:v>
      </x:c>
      <x:c r="B55" s="54" t="s">
        <x:v>152</x:v>
      </x:c>
      <x:c r="C55" s="55" t="str">
        <x:f t="array" ref="C55">IFS(D55="","", D55="A","NE", D55="B","SW", D55="C","SE", D55="D","NW",D55="Omit", "")</x:f>
      </x:c>
      <x:c r="D55" s="70"/>
      <x:c r="E55" s="26" t="str">
        <x:f t="shared" si="1"/>
      </x:c>
      <x:c r="F55" s="76"/>
      <x:c r="G55" s="67"/>
      <x:c r="H55" s="26" t="str">
        <x:f t="array" ref="H55">IF($G55="","",TEXTJOIN("",TRUE,MID($B55,MID($G55,SEQUENCE(LEN($G55),1),1)+0,1)))</x:f>
      </x:c>
      <x:c r="I55" s="6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4">
        <x:v>47.0</x:v>
      </x:c>
      <x:c r="B56" s="54" t="s">
        <x:v>155</x:v>
      </x:c>
      <x:c r="C56" s="55" t="str">
        <x:f t="array" ref="C56">IFS(D56="","", D56="A","NW", D56="B","NE", D56="C","SW", D56="D","SE",D56="Omit", "")</x:f>
      </x:c>
      <x:c r="D56" s="70"/>
      <x:c r="E56" s="26" t="str">
        <x:f t="shared" si="1"/>
      </x:c>
      <x:c r="F56" s="76"/>
      <x:c r="G56" s="67"/>
      <x:c r="H56" s="26" t="str">
        <x:f t="array" ref="H56">IF($G56="","",TEXTJOIN("",TRUE,MID($B56,MID($G56,SEQUENCE(LEN($G56),1),1)+0,1)))</x:f>
      </x:c>
      <x:c r="I56" s="6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4">
        <x:v>48.0</x:v>
      </x:c>
      <x:c r="B57" s="54" t="s">
        <x:v>157</x:v>
      </x:c>
      <x:c r="C57" s="55" t="str">
        <x:f t="array" ref="C57">IFS(D57="","", D57="A","SE", D57="B","NW", D57="C","NE", D57="D","SW",D57="Omit", "")</x:f>
      </x:c>
      <x:c r="D57" s="70"/>
      <x:c r="E57" s="26" t="str">
        <x:f t="shared" si="1"/>
      </x:c>
      <x:c r="F57" s="76"/>
      <x:c r="G57" s="67"/>
      <x:c r="H57" s="26" t="str">
        <x:f t="array" ref="H57">IF($G57="","",TEXTJOIN("",TRUE,MID($B57,MID($G57,SEQUENCE(LEN($G57),1),1)+0,1)))</x:f>
      </x:c>
      <x:c r="I57" s="6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4">
        <x:v>49.0</x:v>
      </x:c>
      <x:c r="B58" s="54" t="s">
        <x:v>148</x:v>
      </x:c>
      <x:c r="C58" s="55" t="str">
        <x:f t="array" ref="C58">IFS(D58="","", D58="A","SW", D58="B","SE", D58="C","NW", D58="D","NE",D58="Omit", "")</x:f>
      </x:c>
      <x:c r="D58" s="70"/>
      <x:c r="E58" s="26" t="str">
        <x:f t="shared" si="1"/>
      </x:c>
      <x:c r="F58" s="76"/>
      <x:c r="G58" s="67"/>
      <x:c r="H58" s="26" t="str">
        <x:f t="array" ref="H58">IF($G58="","",TEXTJOIN("",TRUE,MID($B58,MID($G58,SEQUENCE(LEN($G58),1),1)+0,1)))</x:f>
      </x:c>
      <x:c r="I58" s="6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4">
        <x:v>50.0</x:v>
      </x:c>
      <x:c r="B59" s="54" t="s">
        <x:v>152</x:v>
      </x:c>
      <x:c r="C59" s="55" t="str">
        <x:f t="array" ref="C59">IFS(D59="","", D59="A","NE", D59="B","SW", D59="C","SE", D59="D","NW",D59="Omit", "")</x:f>
      </x:c>
      <x:c r="D59" s="70"/>
      <x:c r="E59" s="26" t="str">
        <x:f t="shared" si="1"/>
      </x:c>
      <x:c r="F59" s="76"/>
      <x:c r="G59" s="67"/>
      <x:c r="H59" s="26" t="str">
        <x:f t="array" ref="H59">IF($G59="","",TEXTJOIN("",TRUE,MID($B59,MID($G59,SEQUENCE(LEN($G59),1),1)+0,1)))</x:f>
      </x:c>
      <x:c r="I59" s="6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4">
        <x:v>51.0</x:v>
      </x:c>
      <x:c r="B60" s="54" t="s">
        <x:v>155</x:v>
      </x:c>
      <x:c r="C60" s="55" t="str">
        <x:f t="array" ref="C60">IFS(D60="","", D60="A","NW", D60="B","NE", D60="C","SW", D60="D","SE",D60="Omit", "")</x:f>
      </x:c>
      <x:c r="D60" s="70"/>
      <x:c r="E60" s="26" t="str">
        <x:f t="shared" si="1"/>
      </x:c>
      <x:c r="F60" s="76"/>
      <x:c r="G60" s="67"/>
      <x:c r="H60" s="26" t="str">
        <x:f t="array" ref="H60">IF($G60="","",TEXTJOIN("",TRUE,MID($B60,MID($G60,SEQUENCE(LEN($G60),1),1)+0,1)))</x:f>
      </x:c>
      <x:c r="I60" s="6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4">
        <x:v>52.0</x:v>
      </x:c>
      <x:c r="B61" s="54" t="s">
        <x:v>157</x:v>
      </x:c>
      <x:c r="C61" s="55" t="str">
        <x:f t="array" ref="C61">IFS(D61="","", D61="A","SE", D61="B","NW", D61="C","NE", D61="D","SW",D61="Omit", "")</x:f>
      </x:c>
      <x:c r="D61" s="70"/>
      <x:c r="E61" s="26" t="str">
        <x:f t="shared" si="1"/>
      </x:c>
      <x:c r="F61" s="76"/>
      <x:c r="G61" s="67"/>
      <x:c r="H61" s="26" t="str">
        <x:f t="array" ref="H61">IF($G61="","",TEXTJOIN("",TRUE,MID($B61,MID($G61,SEQUENCE(LEN($G61),1),1)+0,1)))</x:f>
      </x:c>
      <x:c r="I61" s="6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4">
        <x:v>53.0</x:v>
      </x:c>
      <x:c r="B62" s="54" t="s">
        <x:v>148</x:v>
      </x:c>
      <x:c r="C62" s="55" t="str">
        <x:f t="array" ref="C62">IFS(D62="","", D62="A","SW", D62="B","SE", D62="C","NW", D62="D","NE",D62="Omit", "")</x:f>
      </x:c>
      <x:c r="D62" s="70"/>
      <x:c r="E62" s="26" t="str">
        <x:f t="shared" si="1"/>
      </x:c>
      <x:c r="F62" s="76"/>
      <x:c r="G62" s="67"/>
      <x:c r="H62" s="26" t="str">
        <x:f t="array" ref="H62">IF($G62="","",TEXTJOIN("",TRUE,MID($B62,MID($G62,SEQUENCE(LEN($G62),1),1)+0,1)))</x:f>
      </x:c>
      <x:c r="I62" s="6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4">
        <x:v>54.0</x:v>
      </x:c>
      <x:c r="B63" s="54" t="s">
        <x:v>152</x:v>
      </x:c>
      <x:c r="C63" s="55" t="str">
        <x:f t="array" ref="C63">IFS(D63="","", D63="A","NE", D63="B","SW", D63="C","SE", D63="D","NW",D63="Omit", "")</x:f>
      </x:c>
      <x:c r="D63" s="70"/>
      <x:c r="E63" s="26" t="str">
        <x:f t="shared" si="1"/>
      </x:c>
      <x:c r="F63" s="76"/>
      <x:c r="G63" s="67"/>
      <x:c r="H63" s="26" t="str">
        <x:f t="array" ref="H63">IF($G63="","",TEXTJOIN("",TRUE,MID($B63,MID($G63,SEQUENCE(LEN($G63),1),1)+0,1)))</x:f>
      </x:c>
      <x:c r="I63" s="6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4">
        <x:v>55.0</x:v>
      </x:c>
      <x:c r="B64" s="54" t="s">
        <x:v>155</x:v>
      </x:c>
      <x:c r="C64" s="55" t="str">
        <x:f t="array" ref="C64">IFS(D64="","", D64="A","NW", D64="B","NE", D64="C","SW", D64="D","SE",D64="Omit", "")</x:f>
      </x:c>
      <x:c r="D64" s="70"/>
      <x:c r="E64" s="26" t="str">
        <x:f t="shared" si="1"/>
      </x:c>
      <x:c r="F64" s="76"/>
      <x:c r="G64" s="67"/>
      <x:c r="H64" s="26" t="str">
        <x:f t="array" ref="H64">IF($G64="","",TEXTJOIN("",TRUE,MID($B64,MID($G64,SEQUENCE(LEN($G64),1),1)+0,1)))</x:f>
      </x:c>
      <x:c r="I64" s="6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4">
        <x:v>56.0</x:v>
      </x:c>
      <x:c r="B65" s="54" t="s">
        <x:v>157</x:v>
      </x:c>
      <x:c r="C65" s="55" t="str">
        <x:f t="array" ref="C65">IFS(D65="","", D65="A","SE", D65="B","NW", D65="C","NE", D65="D","SW",D65="Omit", "")</x:f>
      </x:c>
      <x:c r="D65" s="70"/>
      <x:c r="E65" s="26" t="str">
        <x:f t="shared" si="1"/>
      </x:c>
      <x:c r="F65" s="76"/>
      <x:c r="G65" s="67"/>
      <x:c r="H65" s="26" t="str">
        <x:f t="array" ref="H65">IF($G65="","",TEXTJOIN("",TRUE,MID($B65,MID($G65,SEQUENCE(LEN($G65),1),1)+0,1)))</x:f>
      </x:c>
      <x:c r="I65" s="6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4">
        <x:v>57.0</x:v>
      </x:c>
      <x:c r="B66" s="54" t="s">
        <x:v>148</x:v>
      </x:c>
      <x:c r="C66" s="55" t="str">
        <x:f t="array" ref="C66">IFS(D66="","", D66="A","SW", D66="B","SE", D66="C","NW", D66="D","NE",D66="Omit", "")</x:f>
      </x:c>
      <x:c r="D66" s="70"/>
      <x:c r="E66" s="26" t="str">
        <x:f t="shared" si="1"/>
      </x:c>
      <x:c r="F66" s="76"/>
      <x:c r="G66" s="67"/>
      <x:c r="H66" s="26" t="str">
        <x:f t="array" ref="H66">IF($G66="","",TEXTJOIN("",TRUE,MID($B66,MID($G66,SEQUENCE(LEN($G66),1),1)+0,1)))</x:f>
      </x:c>
      <x:c r="I66" s="6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4">
        <x:v>58.0</x:v>
      </x:c>
      <x:c r="B67" s="54" t="s">
        <x:v>152</x:v>
      </x:c>
      <x:c r="C67" s="55" t="str">
        <x:f t="array" ref="C67">IFS(D67="","", D67="A","NE", D67="B","SW", D67="C","SE", D67="D","NW",D67="Omit", "")</x:f>
      </x:c>
      <x:c r="D67" s="70"/>
      <x:c r="E67" s="26" t="str">
        <x:f t="shared" si="1"/>
      </x:c>
      <x:c r="F67" s="76"/>
      <x:c r="G67" s="67"/>
      <x:c r="H67" s="26" t="str">
        <x:f t="array" ref="H67">IF($G67="","",TEXTJOIN("",TRUE,MID($B67,MID($G67,SEQUENCE(LEN($G67),1),1)+0,1)))</x:f>
      </x:c>
      <x:c r="I67" s="6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4">
        <x:v>59.0</x:v>
      </x:c>
      <x:c r="B68" s="54" t="s">
        <x:v>155</x:v>
      </x:c>
      <x:c r="C68" s="55" t="str">
        <x:f t="array" ref="C68">IFS(D68="","", D68="A","NW", D68="B","NE", D68="C","SW", D68="D","SE",D68="Omit", "")</x:f>
      </x:c>
      <x:c r="D68" s="70"/>
      <x:c r="E68" s="26" t="str">
        <x:f t="shared" si="1"/>
      </x:c>
      <x:c r="F68" s="76"/>
      <x:c r="G68" s="67"/>
      <x:c r="H68" s="26" t="str">
        <x:f t="array" ref="H68">IF($G68="","",TEXTJOIN("",TRUE,MID($B68,MID($G68,SEQUENCE(LEN($G68),1),1)+0,1)))</x:f>
      </x:c>
      <x:c r="I68" s="6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4">
        <x:v>60.0</x:v>
      </x:c>
      <x:c r="B69" s="54" t="s">
        <x:v>157</x:v>
      </x:c>
      <x:c r="C69" s="55" t="str">
        <x:f t="array" ref="C69">IFS(D69="","", D69="A","SE", D69="B","NW", D69="C","NE", D69="D","SW",D69="Omit", "")</x:f>
      </x:c>
      <x:c r="D69" s="70"/>
      <x:c r="E69" s="26" t="str">
        <x:f t="shared" si="1"/>
      </x:c>
      <x:c r="F69" s="76"/>
      <x:c r="G69" s="67"/>
      <x:c r="H69" s="26" t="str">
        <x:f t="array" ref="H69">IF($G69="","",TEXTJOIN("",TRUE,MID($B69,MID($G69,SEQUENCE(LEN($G69),1),1)+0,1)))</x:f>
      </x:c>
      <x:c r="I69" s="6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4">
        <x:v>61.0</x:v>
      </x:c>
      <x:c r="B70" s="54" t="s">
        <x:v>148</x:v>
      </x:c>
      <x:c r="C70" s="55" t="str">
        <x:f t="array" ref="C70">IFS(D70="","", D70="A","NW", D70="B","NE", D70="C","SW", D70="D","SE",D70="Omit", "")</x:f>
      </x:c>
      <x:c r="D70" s="70"/>
      <x:c r="E70" s="26" t="str">
        <x:f t="shared" si="1"/>
      </x:c>
      <x:c r="F70" s="76"/>
      <x:c r="G70" s="67"/>
      <x:c r="H70" s="26" t="str">
        <x:f t="array" ref="H70">IF($G70="","",TEXTJOIN("",TRUE,MID($B70,MID($G70,SEQUENCE(LEN($G70),1),1)+0,1)))</x:f>
      </x:c>
      <x:c r="I70" s="6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4">
        <x:v>62.0</x:v>
      </x:c>
      <x:c r="B71" s="54" t="s">
        <x:v>152</x:v>
      </x:c>
      <x:c r="C71" s="55" t="str">
        <x:f t="array" ref="C71">IFS(D71="","", D71="A","SE", D71="B","NW", D71="C","NE", D71="D","SW",D71="Omit", "")</x:f>
      </x:c>
      <x:c r="D71" s="70"/>
      <x:c r="E71" s="26" t="str">
        <x:f t="shared" si="1"/>
      </x:c>
      <x:c r="F71" s="76"/>
      <x:c r="G71" s="67"/>
      <x:c r="H71" s="26" t="str">
        <x:f t="array" ref="H71">IF($G71="","",TEXTJOIN("",TRUE,MID($B71,MID($G71,SEQUENCE(LEN($G71),1),1)+0,1)))</x:f>
      </x:c>
      <x:c r="I71" s="6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4">
        <x:v>63.0</x:v>
      </x:c>
      <x:c r="B72" s="54" t="s">
        <x:v>155</x:v>
      </x:c>
      <x:c r="C72" s="55" t="str">
        <x:f t="array" ref="C72">IFS(D72="","", D72="A","SW", D72="B","SE", D72="C","NW", D72="D","NE",D72="Omit", "")</x:f>
      </x:c>
      <x:c r="D72" s="70"/>
      <x:c r="E72" s="26" t="str">
        <x:f t="shared" si="1"/>
      </x:c>
      <x:c r="F72" s="76"/>
      <x:c r="G72" s="67"/>
      <x:c r="H72" s="26" t="str">
        <x:f t="array" ref="H72">IF($G72="","",TEXTJOIN("",TRUE,MID($B72,MID($G72,SEQUENCE(LEN($G72),1),1)+0,1)))</x:f>
      </x:c>
      <x:c r="I72" s="6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4">
        <x:v>64.0</x:v>
      </x:c>
      <x:c r="B73" s="54" t="s">
        <x:v>157</x:v>
      </x:c>
      <x:c r="C73" s="55" t="str">
        <x:f t="array" ref="C73">IFS(D73="","", D73="A","NE", D73="B","SW", D73="C","SE", D73="D","NW",D73="Omit", "")</x:f>
      </x:c>
      <x:c r="D73" s="70"/>
      <x:c r="E73" s="26" t="str">
        <x:f t="shared" si="1"/>
      </x:c>
      <x:c r="F73" s="76"/>
      <x:c r="G73" s="67"/>
      <x:c r="H73" s="26" t="str">
        <x:f t="array" ref="H73">IF($G73="","",TEXTJOIN("",TRUE,MID($B73,MID($G73,SEQUENCE(LEN($G73),1),1)+0,1)))</x:f>
      </x:c>
      <x:c r="I73" s="6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4">
        <x:v>65.0</x:v>
      </x:c>
      <x:c r="B74" s="54" t="s">
        <x:v>148</x:v>
      </x:c>
      <x:c r="C74" s="55" t="str">
        <x:f t="array" ref="C74">IFS(D74="","", D74="A","NW", D74="B","NE", D74="C","SW", D74="D","SE",D74="Omit", "")</x:f>
      </x:c>
      <x:c r="D74" s="70"/>
      <x:c r="E74" s="26" t="str">
        <x:f t="shared" si="1"/>
      </x:c>
      <x:c r="F74" s="76"/>
      <x:c r="G74" s="67"/>
      <x:c r="H74" s="26" t="str">
        <x:f t="array" ref="H74">IF($G74="","",TEXTJOIN("",TRUE,MID($B74,MID($G74,SEQUENCE(LEN($G74),1),1)+0,1)))</x:f>
      </x:c>
      <x:c r="I74" s="67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4">
        <x:v>66.0</x:v>
      </x:c>
      <x:c r="B75" s="54" t="s">
        <x:v>152</x:v>
      </x:c>
      <x:c r="C75" s="55" t="str">
        <x:f t="array" ref="C75">IFS(D75="","", D75="A","SE", D75="B","NW", D75="C","NE", D75="D","SW",D75="Omit", "")</x:f>
      </x:c>
      <x:c r="D75" s="70"/>
      <x:c r="E75" s="26" t="str">
        <x:f t="shared" si="1"/>
      </x:c>
      <x:c r="F75" s="76"/>
      <x:c r="G75" s="67"/>
      <x:c r="H75" s="26" t="str">
        <x:f t="array" ref="H75">IF($G75="","",TEXTJOIN("",TRUE,MID($B75,MID($G75,SEQUENCE(LEN($G75),1),1)+0,1)))</x:f>
      </x:c>
      <x:c r="I75" s="67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4">
        <x:v>67.0</x:v>
      </x:c>
      <x:c r="B76" s="54" t="s">
        <x:v>155</x:v>
      </x:c>
      <x:c r="C76" s="55" t="str">
        <x:f t="array" ref="C76">IFS(D76="","", D76="A","SW", D76="B","SE", D76="C","NW", D76="D","NE",D76="Omit", "")</x:f>
      </x:c>
      <x:c r="D76" s="70"/>
      <x:c r="E76" s="26" t="str">
        <x:f t="shared" si="1"/>
      </x:c>
      <x:c r="F76" s="76"/>
      <x:c r="G76" s="67"/>
      <x:c r="H76" s="26" t="str">
        <x:f t="array" ref="H76">IF($G76="","",TEXTJOIN("",TRUE,MID($B76,MID($G76,SEQUENCE(LEN($G76),1),1)+0,1)))</x:f>
      </x:c>
      <x:c r="I76" s="67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4">
        <x:v>68.0</x:v>
      </x:c>
      <x:c r="B77" s="54" t="s">
        <x:v>157</x:v>
      </x:c>
      <x:c r="C77" s="55" t="str">
        <x:f t="array" ref="C77">IFS(D77="","", D77="A","NE", D77="B","SW", D77="C","SE", D77="D","NW",D77="Omit", "")</x:f>
      </x:c>
      <x:c r="D77" s="70"/>
      <x:c r="E77" s="26" t="str">
        <x:f t="shared" si="1"/>
      </x:c>
      <x:c r="F77" s="76"/>
      <x:c r="G77" s="67"/>
      <x:c r="H77" s="26" t="str">
        <x:f t="array" ref="H77">IF($G77="","",TEXTJOIN("",TRUE,MID($B77,MID($G77,SEQUENCE(LEN($G77),1),1)+0,1)))</x:f>
      </x:c>
      <x:c r="I77" s="67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4">
        <x:v>69.0</x:v>
      </x:c>
      <x:c r="B78" s="54" t="s">
        <x:v>148</x:v>
      </x:c>
      <x:c r="C78" s="55" t="str">
        <x:f t="array" ref="C78">IFS(D78="","", D78="A","NW", D78="B","NE", D78="C","SW", D78="D","SE",D78="Omit", "")</x:f>
      </x:c>
      <x:c r="D78" s="70"/>
      <x:c r="E78" s="26" t="str">
        <x:f t="shared" si="1"/>
      </x:c>
      <x:c r="F78" s="76"/>
      <x:c r="G78" s="67"/>
      <x:c r="H78" s="26" t="str">
        <x:f t="array" ref="H78">IF($G78="","",TEXTJOIN("",TRUE,MID($B78,MID($G78,SEQUENCE(LEN($G78),1),1)+0,1)))</x:f>
      </x:c>
      <x:c r="I78" s="67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4">
        <x:v>70.0</x:v>
      </x:c>
      <x:c r="B79" s="54" t="s">
        <x:v>152</x:v>
      </x:c>
      <x:c r="C79" s="55" t="str">
        <x:f t="array" ref="C79">IFS(D79="","", D79="A","SE", D79="B","NW", D79="C","NE", D79="D","SW",D79="Omit", "")</x:f>
      </x:c>
      <x:c r="D79" s="70"/>
      <x:c r="E79" s="26" t="str">
        <x:f t="shared" si="1"/>
      </x:c>
      <x:c r="F79" s="76"/>
      <x:c r="G79" s="67"/>
      <x:c r="H79" s="26" t="str">
        <x:f t="array" ref="H79">IF($G79="","",TEXTJOIN("",TRUE,MID($B79,MID($G79,SEQUENCE(LEN($G79),1),1)+0,1)))</x:f>
      </x:c>
      <x:c r="I79" s="67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4">
        <x:v>71.0</x:v>
      </x:c>
      <x:c r="B80" s="54" t="s">
        <x:v>155</x:v>
      </x:c>
      <x:c r="C80" s="55" t="str">
        <x:f t="array" ref="C80">IFS(D80="","", D80="A","SW", D80="B","SE", D80="C","NW", D80="D","NE",D80="Omit", "")</x:f>
      </x:c>
      <x:c r="D80" s="70"/>
      <x:c r="E80" s="26" t="str">
        <x:f t="shared" si="1"/>
      </x:c>
      <x:c r="F80" s="76"/>
      <x:c r="G80" s="81"/>
      <x:c r="H80" s="26" t="str">
        <x:f t="array" ref="H80">IF($G80="","",TEXTJOIN("",TRUE,MID($B80,MID($G80,SEQUENCE(LEN($G80),1),1)+0,1)))</x:f>
      </x:c>
      <x:c r="I80" s="81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4">
        <x:v>72.0</x:v>
      </x:c>
      <x:c r="B81" s="54" t="s">
        <x:v>157</x:v>
      </x:c>
      <x:c r="C81" s="55" t="str">
        <x:f t="array" ref="C81">IFS(D81="","", D81="A","NE", D81="B","SW", D81="C","SE", D81="D","NW",D81="Omit", "")</x:f>
      </x:c>
      <x:c r="D81" s="70"/>
      <x:c r="E81" s="26" t="str">
        <x:f t="shared" si="1"/>
      </x:c>
      <x:c r="F81" s="76"/>
      <x:c r="G81" s="81"/>
      <x:c r="H81" s="26" t="str">
        <x:f t="array" ref="H81">IF($G81="","",TEXTJOIN("",TRUE,MID($B81,MID($G81,SEQUENCE(LEN($G81),1),1)+0,1)))</x:f>
      </x:c>
      <x:c r="I81" s="81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4">
        <x:v>73.0</x:v>
      </x:c>
      <x:c r="B82" s="54" t="s">
        <x:v>148</x:v>
      </x:c>
      <x:c r="C82" s="55" t="str">
        <x:f t="array" ref="C82">IFS(D82="","", D82="A","NW", D82="B","NE", D82="C","SW", D82="D","SE",D82="Omit", "")</x:f>
      </x:c>
      <x:c r="D82" s="70"/>
      <x:c r="E82" s="26" t="str">
        <x:f t="shared" si="1"/>
      </x:c>
      <x:c r="F82" s="76"/>
      <x:c r="G82" s="81"/>
      <x:c r="H82" s="26" t="str">
        <x:f t="array" ref="H82">IF($G82="","",TEXTJOIN("",TRUE,MID($B82,MID($G82,SEQUENCE(LEN($G82),1),1)+0,1)))</x:f>
      </x:c>
      <x:c r="I82" s="81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4">
        <x:v>74.0</x:v>
      </x:c>
      <x:c r="B83" s="54" t="s">
        <x:v>152</x:v>
      </x:c>
      <x:c r="C83" s="55" t="str">
        <x:f t="array" ref="C83">IFS(D83="","", D83="A","SE", D83="B","NW", D83="C","NE", D83="D","SW",D83="Omit", "")</x:f>
      </x:c>
      <x:c r="D83" s="70"/>
      <x:c r="E83" s="26" t="str">
        <x:f t="shared" si="1"/>
      </x:c>
      <x:c r="F83" s="76"/>
      <x:c r="G83" s="81"/>
      <x:c r="H83" s="26" t="str">
        <x:f t="array" ref="H83">IF($G83="","",TEXTJOIN("",TRUE,MID($B83,MID($G83,SEQUENCE(LEN($G83),1),1)+0,1)))</x:f>
      </x:c>
      <x:c r="I83" s="81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4">
        <x:v>75.0</x:v>
      </x:c>
      <x:c r="B84" s="54" t="s">
        <x:v>155</x:v>
      </x:c>
      <x:c r="C84" s="55" t="str">
        <x:f t="array" ref="C84">IFS(D84="","", D84="A","SW", D84="B","SE", D84="C","NW", D84="D","NE",D84="Omit", "")</x:f>
      </x:c>
      <x:c r="D84" s="70"/>
      <x:c r="E84" s="26" t="str">
        <x:f t="shared" si="1"/>
      </x:c>
      <x:c r="F84" s="76"/>
      <x:c r="G84" s="81"/>
      <x:c r="H84" s="26" t="str">
        <x:f t="array" ref="H84">IF($G84="","",TEXTJOIN("",TRUE,MID($B84,MID($G84,SEQUENCE(LEN($G84),1),1)+0,1)))</x:f>
      </x:c>
      <x:c r="I84" s="81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4">
        <x:v>76.0</x:v>
      </x:c>
      <x:c r="B85" s="54" t="s">
        <x:v>157</x:v>
      </x:c>
      <x:c r="C85" s="55" t="str">
        <x:f t="array" ref="C85">IFS(D85="","", D85="A","NE", D85="B","SW", D85="C","SE", D85="D","NW",D85="Omit", "")</x:f>
      </x:c>
      <x:c r="D85" s="70"/>
      <x:c r="E85" s="26" t="str">
        <x:f t="shared" si="1"/>
      </x:c>
      <x:c r="F85" s="76"/>
      <x:c r="G85" s="81"/>
      <x:c r="H85" s="26" t="str">
        <x:f t="array" ref="H85">IF($G85="","",TEXTJOIN("",TRUE,MID($B85,MID($G85,SEQUENCE(LEN($G85),1),1)+0,1)))</x:f>
      </x:c>
      <x:c r="I85" s="81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4">
        <x:v>77.0</x:v>
      </x:c>
      <x:c r="B86" s="54" t="s">
        <x:v>148</x:v>
      </x:c>
      <x:c r="C86" s="55" t="str">
        <x:f t="array" ref="C86">IFS(D86="","", D86="A","NW", D86="B","NE", D86="C","SW", D86="D","SE",D86="Omit", "")</x:f>
      </x:c>
      <x:c r="D86" s="70"/>
      <x:c r="E86" s="26" t="str">
        <x:f t="shared" si="1"/>
      </x:c>
      <x:c r="F86" s="76"/>
      <x:c r="G86" s="81"/>
      <x:c r="H86" s="26" t="str">
        <x:f t="array" ref="H86">IF($G86="","",TEXTJOIN("",TRUE,MID($B86,MID($G86,SEQUENCE(LEN($G86),1),1)+0,1)))</x:f>
      </x:c>
      <x:c r="I86" s="81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4">
        <x:v>78.0</x:v>
      </x:c>
      <x:c r="B87" s="54" t="s">
        <x:v>152</x:v>
      </x:c>
      <x:c r="C87" s="55" t="str">
        <x:f t="array" ref="C87">IFS(D87="","", D87="A","SE", D87="B","NW", D87="C","NE", D87="D","SW",D87="Omit", "")</x:f>
      </x:c>
      <x:c r="D87" s="70"/>
      <x:c r="E87" s="26" t="str">
        <x:f t="shared" si="1"/>
      </x:c>
      <x:c r="F87" s="76"/>
      <x:c r="G87" s="81"/>
      <x:c r="H87" s="26" t="str">
        <x:f t="array" ref="H87">IF($G87="","",TEXTJOIN("",TRUE,MID($B87,MID($G87,SEQUENCE(LEN($G87),1),1)+0,1)))</x:f>
      </x:c>
      <x:c r="I87" s="81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4">
        <x:v>79.0</x:v>
      </x:c>
      <x:c r="B88" s="54" t="s">
        <x:v>155</x:v>
      </x:c>
      <x:c r="C88" s="55" t="str">
        <x:f t="array" ref="C88">IFS(D88="","", D88="A","SW", D88="B","SE", D88="C","NW", D88="D","NE",D88="Omit", "")</x:f>
      </x:c>
      <x:c r="D88" s="70"/>
      <x:c r="E88" s="26" t="str">
        <x:f t="shared" si="1"/>
      </x:c>
      <x:c r="F88" s="76"/>
      <x:c r="G88" s="81"/>
      <x:c r="H88" s="26" t="str">
        <x:f t="array" ref="H88">IF($G88="","",TEXTJOIN("",TRUE,MID($B88,MID($G88,SEQUENCE(LEN($G88),1),1)+0,1)))</x:f>
      </x:c>
      <x:c r="I88" s="81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4">
        <x:v>80.0</x:v>
      </x:c>
      <x:c r="B89" s="54" t="s">
        <x:v>157</x:v>
      </x:c>
      <x:c r="C89" s="55" t="str">
        <x:f t="array" ref="C89">IFS(D89="","", D89="A","NE", D89="B","SW", D89="C","SE", D89="D","NW",D89="Omit", "")</x:f>
      </x:c>
      <x:c r="D89" s="70"/>
      <x:c r="E89" s="26" t="str">
        <x:f t="shared" si="1"/>
      </x:c>
      <x:c r="F89" s="76"/>
      <x:c r="G89" s="81"/>
      <x:c r="H89" s="26" t="str">
        <x:f t="array" ref="H89">IF($G89="","",TEXTJOIN("",TRUE,MID($B89,MID($G89,SEQUENCE(LEN($G89),1),1)+0,1)))</x:f>
      </x:c>
      <x:c r="I89" s="81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4">
        <x:v>81.0</x:v>
      </x:c>
      <x:c r="B90" s="54" t="s">
        <x:v>148</x:v>
      </x:c>
      <x:c r="C90" s="55" t="str">
        <x:f t="array" ref="C90">IFS(D90="","", D90="A","NW", D90="B","NE", D90="C","SW", D90="D","SE",D90="Omit", "")</x:f>
      </x:c>
      <x:c r="D90" s="70"/>
      <x:c r="E90" s="26" t="str">
        <x:f t="shared" si="1"/>
      </x:c>
      <x:c r="F90" s="76"/>
      <x:c r="G90" s="81"/>
      <x:c r="H90" s="26" t="str">
        <x:f t="array" ref="H90">IF($G90="","",TEXTJOIN("",TRUE,MID($B90,MID($G90,SEQUENCE(LEN($G90),1),1)+0,1)))</x:f>
      </x:c>
      <x:c r="I90" s="81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4">
        <x:v>82.0</x:v>
      </x:c>
      <x:c r="B91" s="54" t="s">
        <x:v>152</x:v>
      </x:c>
      <x:c r="C91" s="55" t="str">
        <x:f t="array" ref="C91">IFS(D91="","", D91="A","SE", D91="B","NW", D91="C","NE", D91="D","SW",D91="Omit", "")</x:f>
      </x:c>
      <x:c r="D91" s="70"/>
      <x:c r="E91" s="26" t="str">
        <x:f t="shared" si="1"/>
      </x:c>
      <x:c r="F91" s="76"/>
      <x:c r="G91" s="81"/>
      <x:c r="H91" s="26" t="str">
        <x:f t="array" ref="H91">IF($G91="","",TEXTJOIN("",TRUE,MID($B91,MID($G91,SEQUENCE(LEN($G91),1),1)+0,1)))</x:f>
      </x:c>
      <x:c r="I91" s="81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4">
        <x:v>83.0</x:v>
      </x:c>
      <x:c r="B92" s="54" t="s">
        <x:v>155</x:v>
      </x:c>
      <x:c r="C92" s="55" t="str">
        <x:f t="array" ref="C92">IFS(D92="","", D92="A","SW", D92="B","SE", D92="C","NW", D92="D","NE",D92="Omit", "")</x:f>
      </x:c>
      <x:c r="D92" s="70"/>
      <x:c r="E92" s="26" t="str">
        <x:f t="shared" si="1"/>
      </x:c>
      <x:c r="F92" s="76"/>
      <x:c r="G92" s="81"/>
      <x:c r="H92" s="26" t="str">
        <x:f t="array" ref="H92">IF($G92="","",TEXTJOIN("",TRUE,MID($B92,MID($G92,SEQUENCE(LEN($G92),1),1)+0,1)))</x:f>
      </x:c>
      <x:c r="I92" s="81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4">
        <x:v>84.0</x:v>
      </x:c>
      <x:c r="B93" s="54" t="s">
        <x:v>157</x:v>
      </x:c>
      <x:c r="C93" s="55" t="str">
        <x:f t="array" ref="C93">IFS(D93="","", D93="A","NE", D93="B","SW", D93="C","SE", D93="D","NW",D93="Omit", "")</x:f>
      </x:c>
      <x:c r="D93" s="70"/>
      <x:c r="E93" s="26" t="str">
        <x:f t="shared" si="1"/>
      </x:c>
      <x:c r="F93" s="76"/>
      <x:c r="G93" s="81"/>
      <x:c r="H93" s="26" t="str">
        <x:f t="array" ref="H93">IF($G93="","",TEXTJOIN("",TRUE,MID($B93,MID($G93,SEQUENCE(LEN($G93),1),1)+0,1)))</x:f>
      </x:c>
      <x:c r="I93" s="81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4">
        <x:v>85.0</x:v>
      </x:c>
      <x:c r="B94" s="54" t="s">
        <x:v>148</x:v>
      </x:c>
      <x:c r="C94" s="55" t="str">
        <x:f t="array" ref="C94">IFS(D94="","", D94="A","NW", D94="B","NE", D94="C","SW", D94="D","SE",D94="Omit", "")</x:f>
      </x:c>
      <x:c r="D94" s="70"/>
      <x:c r="E94" s="26" t="str">
        <x:f t="shared" si="1"/>
      </x:c>
      <x:c r="F94" s="76"/>
      <x:c r="G94" s="81"/>
      <x:c r="H94" s="26" t="str">
        <x:f t="array" ref="H94">IF($G94="","",TEXTJOIN("",TRUE,MID($B94,MID($G94,SEQUENCE(LEN($G94),1),1)+0,1)))</x:f>
      </x:c>
      <x:c r="I94" s="81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4">
        <x:v>86.0</x:v>
      </x:c>
      <x:c r="B95" s="54" t="s">
        <x:v>152</x:v>
      </x:c>
      <x:c r="C95" s="55" t="str">
        <x:f t="array" ref="C95">IFS(D95="","", D95="A","SE", D95="B","NW", D95="C","NE", D95="D","SW",D95="Omit", "")</x:f>
      </x:c>
      <x:c r="D95" s="70"/>
      <x:c r="E95" s="26" t="str">
        <x:f t="shared" si="1"/>
      </x:c>
      <x:c r="F95" s="76"/>
      <x:c r="G95" s="81"/>
      <x:c r="H95" s="26" t="str">
        <x:f t="array" ref="H95">IF($G95="","",TEXTJOIN("",TRUE,MID($B95,MID($G95,SEQUENCE(LEN($G95),1),1)+0,1)))</x:f>
      </x:c>
      <x:c r="I95" s="81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4">
        <x:v>87.0</x:v>
      </x:c>
      <x:c r="B96" s="54" t="s">
        <x:v>155</x:v>
      </x:c>
      <x:c r="C96" s="55" t="str">
        <x:f t="array" ref="C96">IFS(D96="","", D96="A","SW", D96="B","SE", D96="C","NW", D96="D","NE",D96="Omit", "")</x:f>
      </x:c>
      <x:c r="D96" s="70"/>
      <x:c r="E96" s="26" t="str">
        <x:f t="shared" si="1"/>
      </x:c>
      <x:c r="F96" s="76"/>
      <x:c r="G96" s="81"/>
      <x:c r="H96" s="26" t="str">
        <x:f t="array" ref="H96">IF($G96="","",TEXTJOIN("",TRUE,MID($B96,MID($G96,SEQUENCE(LEN($G96),1),1)+0,1)))</x:f>
      </x:c>
      <x:c r="I96" s="81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4">
        <x:v>88.0</x:v>
      </x:c>
      <x:c r="B97" s="54" t="s">
        <x:v>157</x:v>
      </x:c>
      <x:c r="C97" s="55" t="str">
        <x:f t="array" ref="C97">IFS(D97="","", D97="A","NE", D97="B","SW", D97="C","SE", D97="D","NW",D97="Omit", "")</x:f>
      </x:c>
      <x:c r="D97" s="70"/>
      <x:c r="E97" s="26" t="str">
        <x:f t="shared" si="1"/>
      </x:c>
      <x:c r="F97" s="76"/>
      <x:c r="G97" s="81"/>
      <x:c r="H97" s="26" t="str">
        <x:f t="array" ref="H97">IF($G97="","",TEXTJOIN("",TRUE,MID($B97,MID($G97,SEQUENCE(LEN($G97),1),1)+0,1)))</x:f>
      </x:c>
      <x:c r="I97" s="81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4">
        <x:v>89.0</x:v>
      </x:c>
      <x:c r="B98" s="54" t="s">
        <x:v>148</x:v>
      </x:c>
      <x:c r="C98" s="55" t="str">
        <x:f t="array" ref="C98">IFS(D98="","", D98="A","NW", D98="B","NE", D98="C","SW", D98="D","SE",D98="Omit", "")</x:f>
      </x:c>
      <x:c r="D98" s="70"/>
      <x:c r="E98" s="26" t="str">
        <x:f t="shared" si="1"/>
      </x:c>
      <x:c r="F98" s="76"/>
      <x:c r="G98" s="81"/>
      <x:c r="H98" s="26" t="str">
        <x:f t="array" ref="H98">IF($G98="","",TEXTJOIN("",TRUE,MID($B98,MID($G98,SEQUENCE(LEN($G98),1),1)+0,1)))</x:f>
      </x:c>
      <x:c r="I98" s="81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4">
        <x:v>90.0</x:v>
      </x:c>
      <x:c r="B99" s="54" t="s">
        <x:v>152</x:v>
      </x:c>
      <x:c r="C99" s="55" t="str">
        <x:f t="array" ref="C99">IFS(D99="","", D99="A","SE", D99="B","NW", D99="C","NE", D99="D","SW",D99="Omit", "")</x:f>
      </x:c>
      <x:c r="D99" s="70"/>
      <x:c r="E99" s="26" t="str">
        <x:f t="shared" si="1"/>
      </x:c>
      <x:c r="F99" s="76"/>
      <x:c r="G99" s="81"/>
      <x:c r="H99" s="26" t="str">
        <x:f t="array" ref="H99">IF($G99="","",TEXTJOIN("",TRUE,MID($B99,MID($G99,SEQUENCE(LEN($G99),1),1)+0,1)))</x:f>
      </x:c>
      <x:c r="I99" s="81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4">
        <x:v>91.0</x:v>
      </x:c>
      <x:c r="B100" s="54" t="s">
        <x:v>155</x:v>
      </x:c>
      <x:c r="C100" s="55" t="str">
        <x:f t="array" ref="C100">IFS(D100="","", D100="A","NW", D100="B","NE", D100="C","SW", D100="D","SE",D100="Omit", "")</x:f>
      </x:c>
      <x:c r="D100" s="70"/>
      <x:c r="E100" s="26" t="str">
        <x:f t="shared" si="1"/>
      </x:c>
      <x:c r="F100" s="76"/>
      <x:c r="G100" s="81"/>
      <x:c r="H100" s="26" t="str">
        <x:f t="array" ref="H100">IF($G100="","",TEXTJOIN("",TRUE,MID($B100,MID($G100,SEQUENCE(LEN($G100),1),1)+0,1)))</x:f>
      </x:c>
      <x:c r="I100" s="81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4">
        <x:v>92.0</x:v>
      </x:c>
      <x:c r="B101" s="54" t="s">
        <x:v>157</x:v>
      </x:c>
      <x:c r="C101" s="55" t="str">
        <x:f t="array" ref="C101">IFS(D101="","", D101="A","SE", D101="B","NW", D101="C","NE", D101="D","SW",D101="Omit", "")</x:f>
      </x:c>
      <x:c r="D101" s="70"/>
      <x:c r="E101" s="26" t="str">
        <x:f t="shared" si="1"/>
      </x:c>
      <x:c r="F101" s="76"/>
      <x:c r="G101" s="81"/>
      <x:c r="H101" s="26" t="str">
        <x:f t="array" ref="H101">IF($G101="","",TEXTJOIN("",TRUE,MID($B101,MID($G101,SEQUENCE(LEN($G101),1),1)+0,1)))</x:f>
      </x:c>
      <x:c r="I101" s="81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4">
        <x:v>93.0</x:v>
      </x:c>
      <x:c r="B102" s="54" t="s">
        <x:v>148</x:v>
      </x:c>
      <x:c r="C102" s="55" t="str">
        <x:f t="array" ref="C102">IFS(D102="","", D102="A","SW", D102="B","SE", D102="C","NW", D102="D","NE",D102="Omit", "")</x:f>
      </x:c>
      <x:c r="D102" s="70"/>
      <x:c r="E102" s="26" t="str">
        <x:f t="shared" si="1"/>
      </x:c>
      <x:c r="F102" s="76"/>
      <x:c r="G102" s="81"/>
      <x:c r="H102" s="26" t="str">
        <x:f t="array" ref="H102">IF($G102="","",TEXTJOIN("",TRUE,MID($B102,MID($G102,SEQUENCE(LEN($G102),1),1)+0,1)))</x:f>
      </x:c>
      <x:c r="I102" s="81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4">
        <x:v>94.0</x:v>
      </x:c>
      <x:c r="B103" s="54" t="s">
        <x:v>152</x:v>
      </x:c>
      <x:c r="C103" s="55" t="str">
        <x:f t="array" ref="C103">IFS(D103="","", D103="A","NE", D103="B","SW", D103="C","SE", D103="D","NW",D103="Omit", "")</x:f>
      </x:c>
      <x:c r="D103" s="70"/>
      <x:c r="E103" s="26" t="str">
        <x:f t="shared" si="1"/>
      </x:c>
      <x:c r="F103" s="76"/>
      <x:c r="G103" s="81"/>
      <x:c r="H103" s="26" t="str">
        <x:f t="array" ref="H103">IF($G103="","",TEXTJOIN("",TRUE,MID($B103,MID($G103,SEQUENCE(LEN($G103),1),1)+0,1)))</x:f>
      </x:c>
      <x:c r="I103" s="81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4">
        <x:v>95.0</x:v>
      </x:c>
      <x:c r="B104" s="54" t="s">
        <x:v>155</x:v>
      </x:c>
      <x:c r="C104" s="55" t="str">
        <x:f t="array" ref="C104">IFS(D104="","", D104="A","NW", D104="B","NE", D104="C","SW", D104="D","SE",D104="Omit", "")</x:f>
      </x:c>
      <x:c r="D104" s="70"/>
      <x:c r="E104" s="26" t="str">
        <x:f t="shared" si="1"/>
      </x:c>
      <x:c r="F104" s="76"/>
      <x:c r="G104" s="81"/>
      <x:c r="H104" s="26" t="str">
        <x:f t="array" ref="H104">IF($G104="","",TEXTJOIN("",TRUE,MID($B104,MID($G104,SEQUENCE(LEN($G104),1),1)+0,1)))</x:f>
      </x:c>
      <x:c r="I104" s="81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4">
        <x:v>96.0</x:v>
      </x:c>
      <x:c r="B105" s="54" t="s">
        <x:v>157</x:v>
      </x:c>
      <x:c r="C105" s="55" t="str">
        <x:f t="array" ref="C105">IFS(D105="","", D105="A","SE", D105="B","NW", D105="C","NE", D105="D","SW",D105="Omit", "")</x:f>
      </x:c>
      <x:c r="D105" s="70"/>
      <x:c r="E105" s="26" t="str">
        <x:f t="shared" si="1"/>
      </x:c>
      <x:c r="F105" s="76"/>
      <x:c r="G105" s="81"/>
      <x:c r="H105" s="26" t="str">
        <x:f t="array" ref="H105">IF($G105="","",TEXTJOIN("",TRUE,MID($B105,MID($G105,SEQUENCE(LEN($G105),1),1)+0,1)))</x:f>
      </x:c>
      <x:c r="I105" s="81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4">
        <x:v>97.0</x:v>
      </x:c>
      <x:c r="B106" s="54" t="s">
        <x:v>148</x:v>
      </x:c>
      <x:c r="C106" s="55" t="str">
        <x:f t="array" ref="C106">IFS(D106="","", D106="A","SW", D106="B","SE", D106="C","NW", D106="D","NE",D106="Omit", "")</x:f>
      </x:c>
      <x:c r="D106" s="70"/>
      <x:c r="E106" s="26" t="str">
        <x:f t="shared" si="1"/>
      </x:c>
      <x:c r="F106" s="76"/>
      <x:c r="G106" s="81"/>
      <x:c r="H106" s="26" t="str">
        <x:f t="array" ref="H106">IF($G106="","",TEXTJOIN("",TRUE,MID($B106,MID($G106,SEQUENCE(LEN($G106),1),1)+0,1)))</x:f>
      </x:c>
      <x:c r="I106" s="81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4">
        <x:v>98.0</x:v>
      </x:c>
      <x:c r="B107" s="54" t="s">
        <x:v>152</x:v>
      </x:c>
      <x:c r="C107" s="55" t="str">
        <x:f t="array" ref="C107">IFS(D107="","", D107="A","NE", D107="B","SW", D107="C","SE", D107="D","NW",D107="Omit", "")</x:f>
      </x:c>
      <x:c r="D107" s="70"/>
      <x:c r="E107" s="26" t="str">
        <x:f t="shared" si="1"/>
      </x:c>
      <x:c r="F107" s="76"/>
      <x:c r="G107" s="81"/>
      <x:c r="H107" s="26" t="str">
        <x:f t="array" ref="H107">IF($G107="","",TEXTJOIN("",TRUE,MID($B107,MID($G107,SEQUENCE(LEN($G107),1),1)+0,1)))</x:f>
      </x:c>
      <x:c r="I107" s="81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4">
        <x:v>99.0</x:v>
      </x:c>
      <x:c r="B108" s="54" t="s">
        <x:v>155</x:v>
      </x:c>
      <x:c r="C108" s="55" t="str">
        <x:f t="array" ref="C108">IFS(D108="","", D108="A","NW", D108="B","NE", D108="C","SW", D108="D","SE",D108="Omit", "")</x:f>
      </x:c>
      <x:c r="D108" s="70"/>
      <x:c r="E108" s="26" t="str">
        <x:f t="shared" si="1"/>
      </x:c>
      <x:c r="F108" s="76"/>
      <x:c r="G108" s="81"/>
      <x:c r="H108" s="26" t="str">
        <x:f t="array" ref="H108">IF($G108="","",TEXTJOIN("",TRUE,MID($B108,MID($G108,SEQUENCE(LEN($G108),1),1)+0,1)))</x:f>
      </x:c>
      <x:c r="I108" s="81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4">
        <x:v>100.0</x:v>
      </x:c>
      <x:c r="B109" s="54" t="s">
        <x:v>157</x:v>
      </x:c>
      <x:c r="C109" s="55" t="str">
        <x:f t="array" ref="C109">IFS(D109="","", D109="A","SE", D109="B","NW", D109="C","NE", D109="D","SW",D109="Omit", "")</x:f>
      </x:c>
      <x:c r="D109" s="70"/>
      <x:c r="E109" s="26" t="str">
        <x:f t="shared" si="1"/>
      </x:c>
      <x:c r="F109" s="76"/>
      <x:c r="G109" s="81"/>
      <x:c r="H109" s="26" t="str">
        <x:f t="array" ref="H109">IF($G109="","",TEXTJOIN("",TRUE,MID($B109,MID($G109,SEQUENCE(LEN($G109),1),1)+0,1)))</x:f>
      </x:c>
      <x:c r="I109" s="81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4">
        <x:v>101.0</x:v>
      </x:c>
      <x:c r="B110" s="54" t="s">
        <x:v>148</x:v>
      </x:c>
      <x:c r="C110" s="55" t="str">
        <x:f t="array" ref="C110">IFS(D110="","", D110="A","SW", D110="B","SE", D110="C","NW", D110="D","NE",D110="Omit", "")</x:f>
      </x:c>
      <x:c r="D110" s="70"/>
      <x:c r="E110" s="26" t="str">
        <x:f t="shared" si="1"/>
      </x:c>
      <x:c r="F110" s="76"/>
      <x:c r="G110" s="81"/>
      <x:c r="H110" s="26" t="str">
        <x:f t="array" ref="H110">IF($G110="","",TEXTJOIN("",TRUE,MID($B110,MID($G110,SEQUENCE(LEN($G110),1),1)+0,1)))</x:f>
      </x:c>
      <x:c r="I110" s="81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4">
        <x:v>102.0</x:v>
      </x:c>
      <x:c r="B111" s="54" t="s">
        <x:v>152</x:v>
      </x:c>
      <x:c r="C111" s="55" t="str">
        <x:f t="array" ref="C111">IFS(D111="","", D111="A","NE", D111="B","SW", D111="C","SE", D111="D","NW",D111="Omit", "")</x:f>
      </x:c>
      <x:c r="D111" s="70"/>
      <x:c r="E111" s="26" t="str">
        <x:f t="shared" si="1"/>
      </x:c>
      <x:c r="F111" s="76"/>
      <x:c r="G111" s="81"/>
      <x:c r="H111" s="26" t="str">
        <x:f t="array" ref="H111">IF($G111="","",TEXTJOIN("",TRUE,MID($B111,MID($G111,SEQUENCE(LEN($G111),1),1)+0,1)))</x:f>
      </x:c>
      <x:c r="I111" s="81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4">
        <x:v>103.0</x:v>
      </x:c>
      <x:c r="B112" s="54" t="s">
        <x:v>155</x:v>
      </x:c>
      <x:c r="C112" s="55" t="str">
        <x:f t="array" ref="C112">IFS(D112="","", D112="A","NW", D112="B","NE", D112="C","SW", D112="D","SE",D112="Omit", "")</x:f>
      </x:c>
      <x:c r="D112" s="70"/>
      <x:c r="E112" s="26" t="str">
        <x:f t="shared" si="1"/>
      </x:c>
      <x:c r="F112" s="76"/>
      <x:c r="G112" s="81"/>
      <x:c r="H112" s="26" t="str">
        <x:f t="array" ref="H112">IF($G112="","",TEXTJOIN("",TRUE,MID($B112,MID($G112,SEQUENCE(LEN($G112),1),1)+0,1)))</x:f>
      </x:c>
      <x:c r="I112" s="81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4">
        <x:v>104.0</x:v>
      </x:c>
      <x:c r="B113" s="54" t="s">
        <x:v>157</x:v>
      </x:c>
      <x:c r="C113" s="55" t="str">
        <x:f t="array" ref="C113">IFS(D113="","", D113="A","SE", D113="B","NW", D113="C","NE", D113="D","SW",D113="Omit", "")</x:f>
      </x:c>
      <x:c r="D113" s="70"/>
      <x:c r="E113" s="26" t="str">
        <x:f t="shared" si="1"/>
      </x:c>
      <x:c r="F113" s="76"/>
      <x:c r="G113" s="81"/>
      <x:c r="H113" s="26" t="str">
        <x:f t="array" ref="H113">IF($G113="","",TEXTJOIN("",TRUE,MID($B113,MID($G113,SEQUENCE(LEN($G113),1),1)+0,1)))</x:f>
      </x:c>
      <x:c r="I113" s="81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4">
        <x:v>105.0</x:v>
      </x:c>
      <x:c r="B114" s="54" t="s">
        <x:v>148</x:v>
      </x:c>
      <x:c r="C114" s="55" t="str">
        <x:f t="array" ref="C114">IFS(D114="","", D114="A","SW", D114="B","SE", D114="C","NW", D114="D","NE",D114="Omit", "")</x:f>
      </x:c>
      <x:c r="D114" s="70"/>
      <x:c r="E114" s="26" t="str">
        <x:f t="shared" si="1"/>
      </x:c>
      <x:c r="F114" s="76"/>
      <x:c r="G114" s="81"/>
      <x:c r="H114" s="26" t="str">
        <x:f t="array" ref="H114">IF($G114="","",TEXTJOIN("",TRUE,MID($B114,MID($G114,SEQUENCE(LEN($G114),1),1)+0,1)))</x:f>
      </x:c>
      <x:c r="I114" s="81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4">
        <x:v>106.0</x:v>
      </x:c>
      <x:c r="B115" s="54" t="s">
        <x:v>152</x:v>
      </x:c>
      <x:c r="C115" s="55" t="str">
        <x:f t="array" ref="C115">IFS(D115="","", D115="A","NE", D115="B","SW", D115="C","SE", D115="D","NW",D115="Omit", "")</x:f>
      </x:c>
      <x:c r="D115" s="70"/>
      <x:c r="E115" s="26" t="str">
        <x:f t="shared" si="1"/>
      </x:c>
      <x:c r="F115" s="76"/>
      <x:c r="G115" s="81"/>
      <x:c r="H115" s="26" t="str">
        <x:f t="array" ref="H115">IF($G115="","",TEXTJOIN("",TRUE,MID($B115,MID($G115,SEQUENCE(LEN($G115),1),1)+0,1)))</x:f>
      </x:c>
      <x:c r="I115" s="81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4">
        <x:v>107.0</x:v>
      </x:c>
      <x:c r="B116" s="54" t="s">
        <x:v>155</x:v>
      </x:c>
      <x:c r="C116" s="55" t="str">
        <x:f t="array" ref="C116">IFS(D116="","", D116="A","NW", D116="B","NE", D116="C","SW", D116="D","SE",D116="Omit", "")</x:f>
      </x:c>
      <x:c r="D116" s="70"/>
      <x:c r="E116" s="26" t="str">
        <x:f t="shared" si="1"/>
      </x:c>
      <x:c r="F116" s="76"/>
      <x:c r="G116" s="81"/>
      <x:c r="H116" s="26" t="str">
        <x:f t="array" ref="H116">IF($G116="","",TEXTJOIN("",TRUE,MID($B116,MID($G116,SEQUENCE(LEN($G116),1),1)+0,1)))</x:f>
      </x:c>
      <x:c r="I116" s="81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4">
        <x:v>108.0</x:v>
      </x:c>
      <x:c r="B117" s="54" t="s">
        <x:v>157</x:v>
      </x:c>
      <x:c r="C117" s="55" t="str">
        <x:f t="array" ref="C117">IFS(D117="","", D117="A","SE", D117="B","NW", D117="C","NE", D117="D","SW",D117="Omit", "")</x:f>
      </x:c>
      <x:c r="D117" s="70"/>
      <x:c r="E117" s="26" t="str">
        <x:f t="shared" si="1"/>
      </x:c>
      <x:c r="F117" s="76"/>
      <x:c r="G117" s="81"/>
      <x:c r="H117" s="26" t="str">
        <x:f t="array" ref="H117">IF($G117="","",TEXTJOIN("",TRUE,MID($B117,MID($G117,SEQUENCE(LEN($G117),1),1)+0,1)))</x:f>
      </x:c>
      <x:c r="I117" s="81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4">
        <x:v>109.0</x:v>
      </x:c>
      <x:c r="B118" s="54" t="s">
        <x:v>148</x:v>
      </x:c>
      <x:c r="C118" s="55" t="str">
        <x:f t="array" ref="C118">IFS(D118="","", D118="A","SW", D118="B","SE", D118="C","NW", D118="D","NE",D118="Omit", "")</x:f>
      </x:c>
      <x:c r="D118" s="70"/>
      <x:c r="E118" s="26" t="str">
        <x:f t="shared" si="1"/>
      </x:c>
      <x:c r="F118" s="76"/>
      <x:c r="G118" s="81"/>
      <x:c r="H118" s="26" t="str">
        <x:f t="array" ref="H118">IF($G118="","",TEXTJOIN("",TRUE,MID($B118,MID($G118,SEQUENCE(LEN($G118),1),1)+0,1)))</x:f>
      </x:c>
      <x:c r="I118" s="81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4">
        <x:v>110.0</x:v>
      </x:c>
      <x:c r="B119" s="54" t="s">
        <x:v>152</x:v>
      </x:c>
      <x:c r="C119" s="55" t="str">
        <x:f t="array" ref="C119">IFS(D119="","", D119="A","NE", D119="B","SW", D119="C","SE", D119="D","NW",D119="Omit", "")</x:f>
      </x:c>
      <x:c r="D119" s="70"/>
      <x:c r="E119" s="26" t="str">
        <x:f t="shared" si="1"/>
      </x:c>
      <x:c r="F119" s="76"/>
      <x:c r="G119" s="81"/>
      <x:c r="H119" s="26" t="str">
        <x:f t="array" ref="H119">IF($G119="","",TEXTJOIN("",TRUE,MID($B119,MID($G119,SEQUENCE(LEN($G119),1),1)+0,1)))</x:f>
      </x:c>
      <x:c r="I119" s="81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4">
        <x:v>111.0</x:v>
      </x:c>
      <x:c r="B120" s="54" t="s">
        <x:v>155</x:v>
      </x:c>
      <x:c r="C120" s="55" t="str">
        <x:f t="array" ref="C120">IFS(D120="","", D120="A","NW", D120="B","NE", D120="C","SW", D120="D","SE",D120="Omit", "")</x:f>
      </x:c>
      <x:c r="D120" s="70"/>
      <x:c r="E120" s="26" t="str">
        <x:f t="shared" si="1"/>
      </x:c>
      <x:c r="F120" s="76"/>
      <x:c r="G120" s="81"/>
      <x:c r="H120" s="26" t="str">
        <x:f t="array" ref="H120">IF($G120="","",TEXTJOIN("",TRUE,MID($B120,MID($G120,SEQUENCE(LEN($G120),1),1)+0,1)))</x:f>
      </x:c>
      <x:c r="I120" s="81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4">
        <x:v>112.0</x:v>
      </x:c>
      <x:c r="B121" s="54" t="s">
        <x:v>157</x:v>
      </x:c>
      <x:c r="C121" s="55" t="str">
        <x:f t="array" ref="C121">IFS(D121="","", D121="A","SE", D121="B","NW", D121="C","NE", D121="D","SW",D121="Omit", "")</x:f>
      </x:c>
      <x:c r="D121" s="70"/>
      <x:c r="E121" s="26" t="str">
        <x:f t="shared" si="1"/>
      </x:c>
      <x:c r="F121" s="76"/>
      <x:c r="G121" s="81"/>
      <x:c r="H121" s="26" t="str">
        <x:f t="array" ref="H121">IF($G121="","",TEXTJOIN("",TRUE,MID($B121,MID($G121,SEQUENCE(LEN($G121),1),1)+0,1)))</x:f>
      </x:c>
      <x:c r="I121" s="81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4">
        <x:v>113.0</x:v>
      </x:c>
      <x:c r="B122" s="54" t="s">
        <x:v>148</x:v>
      </x:c>
      <x:c r="C122" s="55" t="str">
        <x:f t="array" ref="C122">IFS(D122="","", D122="A","SW", D122="B","SE", D122="C","NW", D122="D","NE",D122="Omit", "")</x:f>
      </x:c>
      <x:c r="D122" s="70"/>
      <x:c r="E122" s="26" t="str">
        <x:f t="shared" si="1"/>
      </x:c>
      <x:c r="F122" s="76"/>
      <x:c r="G122" s="81"/>
      <x:c r="H122" s="26" t="str">
        <x:f t="array" ref="H122">IF($G122="","",TEXTJOIN("",TRUE,MID($B122,MID($G122,SEQUENCE(LEN($G122),1),1)+0,1)))</x:f>
      </x:c>
      <x:c r="I122" s="81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4">
        <x:v>114.0</x:v>
      </x:c>
      <x:c r="B123" s="54" t="s">
        <x:v>152</x:v>
      </x:c>
      <x:c r="C123" s="55" t="str">
        <x:f t="array" ref="C123">IFS(D123="","", D123="A","NE", D123="B","SW", D123="C","SE", D123="D","NW",D123="Omit", "")</x:f>
      </x:c>
      <x:c r="D123" s="70"/>
      <x:c r="E123" s="26" t="str">
        <x:f t="shared" si="1"/>
      </x:c>
      <x:c r="F123" s="76"/>
      <x:c r="G123" s="81"/>
      <x:c r="H123" s="26" t="str">
        <x:f t="array" ref="H123">IF($G123="","",TEXTJOIN("",TRUE,MID($B123,MID($G123,SEQUENCE(LEN($G123),1),1)+0,1)))</x:f>
      </x:c>
      <x:c r="I123" s="81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4">
        <x:v>115.0</x:v>
      </x:c>
      <x:c r="B124" s="54" t="s">
        <x:v>155</x:v>
      </x:c>
      <x:c r="C124" s="55" t="str">
        <x:f t="array" ref="C124">IFS(D124="","", D124="A","NW", D124="B","NE", D124="C","SW", D124="D","SE",D124="Omit", "")</x:f>
      </x:c>
      <x:c r="D124" s="70"/>
      <x:c r="E124" s="26" t="str">
        <x:f t="shared" si="1"/>
      </x:c>
      <x:c r="F124" s="76"/>
      <x:c r="G124" s="81"/>
      <x:c r="H124" s="26" t="str">
        <x:f t="array" ref="H124">IF($G124="","",TEXTJOIN("",TRUE,MID($B124,MID($G124,SEQUENCE(LEN($G124),1),1)+0,1)))</x:f>
      </x:c>
      <x:c r="I124" s="81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4">
        <x:v>116.0</x:v>
      </x:c>
      <x:c r="B125" s="54" t="s">
        <x:v>157</x:v>
      </x:c>
      <x:c r="C125" s="55" t="str">
        <x:f t="array" ref="C125">IFS(D125="","", D125="A","SE", D125="B","NW", D125="C","NE", D125="D","SW",D125="Omit", "")</x:f>
      </x:c>
      <x:c r="D125" s="70"/>
      <x:c r="E125" s="26" t="str">
        <x:f t="shared" si="1"/>
      </x:c>
      <x:c r="F125" s="76"/>
      <x:c r="G125" s="81"/>
      <x:c r="H125" s="26" t="str">
        <x:f t="array" ref="H125">IF($G125="","",TEXTJOIN("",TRUE,MID($B125,MID($G125,SEQUENCE(LEN($G125),1),1)+0,1)))</x:f>
      </x:c>
      <x:c r="I125" s="81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4">
        <x:v>117.0</x:v>
      </x:c>
      <x:c r="B126" s="54" t="s">
        <x:v>148</x:v>
      </x:c>
      <x:c r="C126" s="55" t="str">
        <x:f t="array" ref="C126">IFS(D126="","", D126="A","SW", D126="B","SE", D126="C","NW", D126="D","NE",D126="Omit", "")</x:f>
      </x:c>
      <x:c r="D126" s="70"/>
      <x:c r="E126" s="26" t="str">
        <x:f t="shared" si="1"/>
      </x:c>
      <x:c r="F126" s="76"/>
      <x:c r="G126" s="81"/>
      <x:c r="H126" s="26" t="str">
        <x:f t="array" ref="H126">IF($G126="","",TEXTJOIN("",TRUE,MID($B126,MID($G126,SEQUENCE(LEN($G126),1),1)+0,1)))</x:f>
      </x:c>
      <x:c r="I126" s="81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4">
        <x:v>118.0</x:v>
      </x:c>
      <x:c r="B127" s="54" t="s">
        <x:v>152</x:v>
      </x:c>
      <x:c r="C127" s="55" t="str">
        <x:f t="array" ref="C127">IFS(D127="","", D127="A","NE", D127="B","SW", D127="C","SE", D127="D","NW",D127="Omit", "")</x:f>
      </x:c>
      <x:c r="D127" s="70"/>
      <x:c r="E127" s="26" t="str">
        <x:f t="shared" si="1"/>
      </x:c>
      <x:c r="F127" s="76"/>
      <x:c r="G127" s="81"/>
      <x:c r="H127" s="26" t="str">
        <x:f t="array" ref="H127">IF($G127="","",TEXTJOIN("",TRUE,MID($B127,MID($G127,SEQUENCE(LEN($G127),1),1)+0,1)))</x:f>
      </x:c>
      <x:c r="I127" s="81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4">
        <x:v>119.0</x:v>
      </x:c>
      <x:c r="B128" s="54" t="s">
        <x:v>155</x:v>
      </x:c>
      <x:c r="C128" s="55" t="str">
        <x:f t="array" ref="C128">IFS(D128="","", D128="A","NW", D128="B","NE", D128="C","SW", D128="D","SE",D128="Omit", "")</x:f>
      </x:c>
      <x:c r="D128" s="70"/>
      <x:c r="E128" s="26" t="str">
        <x:f t="shared" si="1"/>
      </x:c>
      <x:c r="F128" s="76"/>
      <x:c r="G128" s="81"/>
      <x:c r="H128" s="26" t="str">
        <x:f t="array" ref="H128">IF($G128="","",TEXTJOIN("",TRUE,MID($B128,MID($G128,SEQUENCE(LEN($G128),1),1)+0,1)))</x:f>
      </x:c>
      <x:c r="I128" s="81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4">
        <x:v>120.0</x:v>
      </x:c>
      <x:c r="B129" s="54" t="s">
        <x:v>157</x:v>
      </x:c>
      <x:c r="C129" s="55" t="str">
        <x:f t="array" ref="C129">IFS(D129="","", D129="A","SE", D129="B","NW", D129="C","NE", D129="D","SW",D129="Omit", "")</x:f>
      </x:c>
      <x:c r="D129" s="70"/>
      <x:c r="E129" s="26" t="str">
        <x:f t="shared" si="1"/>
      </x:c>
      <x:c r="F129" s="76"/>
      <x:c r="G129" s="81"/>
      <x:c r="H129" s="26" t="str">
        <x:f t="array" ref="H129">IF($G129="","",TEXTJOIN("",TRUE,MID($B129,MID($G129,SEQUENCE(LEN($G129),1),1)+0,1)))</x:f>
      </x:c>
      <x:c r="I129" s="81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3" t="s">
        <x:v>169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8" t="s">
        <x:v>82</x:v>
      </x:c>
      <x:c r="C3" s="5" t="s">
        <x:v>83</x:v>
      </x:c>
      <x:c r="D3" s="48">
        <x:v>0.8145833333333333</x:v>
      </x:c>
      <x:c r="E3" s="5" t="s">
        <x:v>84</x:v>
      </x:c>
      <x:c r="F3" s="23" t="str">
        <x:f>IF(D3="","","ZT " &amp; TEXT(MOD(D3-METADATA!$B$19,1),"hh:mm"))</x:f>
        <x:v>ZT 21:33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18">
        <x:v>46269.0</x:v>
      </x:c>
      <x:c r="C4" s="5" t="s">
        <x:v>86</x:v>
      </x:c>
      <x:c r="D4" s="48">
        <x:v>0.8305555555555556</x:v>
      </x:c>
      <x:c r="E4" s="5" t="s">
        <x:v>87</x:v>
      </x:c>
      <x:c r="F4" s="23" t="str">
        <x:f>IF(D4="","","ZT " &amp; TEXT(MOD(D4-METADATA!$B$19,1),"hh:mm"))</x:f>
        <x:v>ZT 21:56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59" t="s">
        <x:v>132</x:v>
      </x:c>
      <x:c r="B6" s="60" t="s">
        <x:v>133</x:v>
      </x:c>
      <x:c r="C6" s="4"/>
      <x:c r="D6" s="59" t="s">
        <x:v>134</x:v>
      </x:c>
      <x:c r="E6" s="60" t="s">
        <x:v>135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9" t="s">
        <x:v>136</x:v>
      </x:c>
      <x:c r="B7" s="61" t="s">
        <x:v>137</x:v>
      </x:c>
      <x:c r="C7" s="61" t="s">
        <x:v>138</x:v>
      </x:c>
      <x:c r="D7" s="61" t="s">
        <x:v>139</x:v>
      </x:c>
      <x:c r="E7" s="61" t="s">
        <x:v>140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51" t="s">
        <x:v>112</x:v>
      </x:c>
      <x:c r="B9" s="52" t="s">
        <x:v>141</x:v>
      </x:c>
      <x:c r="C9" s="53" t="s">
        <x:v>142</x:v>
      </x:c>
      <x:c r="D9" s="29" t="s">
        <x:v>143</x:v>
      </x:c>
      <x:c r="E9" s="29" t="s">
        <x:v>144</x:v>
      </x:c>
      <x:c r="F9" s="29" t="s">
        <x:v>145</x:v>
      </x:c>
      <x:c r="G9" s="38" t="s">
        <x:v>146</x:v>
      </x:c>
      <x:c r="H9" s="38" t="s">
        <x:v>147</x:v>
      </x:c>
      <x:c r="I9" s="29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4">
        <x:v>1.0</x:v>
      </x:c>
      <x:c r="B10" s="54" t="s">
        <x:v>148</x:v>
      </x:c>
      <x:c r="C10" s="55" t="str">
        <x:f t="array" ref="C10">IFS(D10="","", D10="A","NW", D10="B","NE", D10="C","SW", D10="D","SE",D10="Omit", "")</x:f>
        <x:v>NW</x:v>
      </x:c>
      <x:c r="D10" s="8" t="s">
        <x:v>153</x:v>
      </x:c>
      <x:c r="E10" s="63" t="str">
        <x:f t="shared" ref="E10:E129" si="1">IF(D10="","",IF(D10="A","Correct","Incorrect"))</x:f>
        <x:v>Correct</x:v>
      </x:c>
      <x:c r="F10" s="40">
        <x:v>111.0</x:v>
      </x:c>
      <x:c r="G10" s="58" t="s">
        <x:v>170</x:v>
      </x:c>
      <x:c r="H10" s="62" t="str">
        <x:f t="array" ref="H10">IF($G10="","",TEXTJOIN("",TRUE,MID($B10,MID($G10,SEQUENCE(LEN($G10),1),1)+0,1)))</x:f>
        <x:v>Error: #VALUE!</x:v>
      </x:c>
      <x:c r="I10" s="66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4">
        <x:v>2.0</x:v>
      </x:c>
      <x:c r="B11" s="54" t="s">
        <x:v>152</x:v>
      </x:c>
      <x:c r="C11" s="55" t="str">
        <x:f t="array" ref="C11">IFS(D11="","", D11="A","SE", D11="B","NW", D11="C","NE", D11="D","SW",D11="Omit", "")</x:f>
        <x:v>SE</x:v>
      </x:c>
      <x:c r="D11" s="8" t="s">
        <x:v>153</x:v>
      </x:c>
      <x:c r="E11" s="63" t="str">
        <x:f t="shared" si="1"/>
        <x:v>Correct</x:v>
      </x:c>
      <x:c r="F11" s="40">
        <x:v>69.0</x:v>
      </x:c>
      <x:c r="G11" s="58" t="s">
        <x:v>171</x:v>
      </x:c>
      <x:c r="H11" s="62" t="str">
        <x:f t="array" ref="H11">IF($G11="","",TEXTJOIN("",TRUE,MID($B11,MID($G11,SEQUENCE(LEN($G11),1),1)+0,1)))</x:f>
        <x:v>Error: #VALUE!</x:v>
      </x:c>
      <x:c r="I11" s="58" t="s">
        <x:v>151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4">
        <x:v>3.0</x:v>
      </x:c>
      <x:c r="B12" s="54" t="s">
        <x:v>155</x:v>
      </x:c>
      <x:c r="C12" s="55" t="str">
        <x:f t="array" ref="C12">IFS(D12="","", D12="A","SW", D12="B","SE", D12="C","NW", D12="D","NE",D12="Omit", "")</x:f>
        <x:v>SW</x:v>
      </x:c>
      <x:c r="D12" s="8" t="s">
        <x:v>153</x:v>
      </x:c>
      <x:c r="E12" s="63" t="str">
        <x:f t="shared" si="1"/>
        <x:v>Correct</x:v>
      </x:c>
      <x:c r="F12" s="40">
        <x:v>77.0</x:v>
      </x:c>
      <x:c r="G12" s="58" t="s">
        <x:v>172</x:v>
      </x:c>
      <x:c r="H12" s="62" t="str">
        <x:f t="array" ref="H12">IF($G12="","",TEXTJOIN("",TRUE,MID($B12,MID($G12,SEQUENCE(LEN($G12),1),1)+0,1)))</x:f>
        <x:v>Error: #VALUE!</x:v>
      </x:c>
      <x:c r="I12" s="58" t="s">
        <x:v>151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4">
        <x:v>4.0</x:v>
      </x:c>
      <x:c r="B13" s="54" t="s">
        <x:v>157</x:v>
      </x:c>
      <x:c r="C13" s="55" t="str">
        <x:f t="array" ref="C13">IFS(D13="","", D13="A","NE", D13="B","SW", D13="C","SE", D13="D","NW",D13="Omit", "")</x:f>
        <x:v>NE</x:v>
      </x:c>
      <x:c r="D13" s="8" t="s">
        <x:v>153</x:v>
      </x:c>
      <x:c r="E13" s="63" t="str">
        <x:f t="shared" si="1"/>
        <x:v>Correct</x:v>
      </x:c>
      <x:c r="F13" s="40">
        <x:v>28.0</x:v>
      </x:c>
      <x:c r="G13" s="58" t="s">
        <x:v>173</x:v>
      </x:c>
      <x:c r="H13" s="62" t="str">
        <x:f t="array" ref="H13">IF($G13="","",TEXTJOIN("",TRUE,MID($B13,MID($G13,SEQUENCE(LEN($G13),1),1)+0,1)))</x:f>
        <x:v>Error: #VALUE!</x:v>
      </x:c>
      <x:c r="I13" s="66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4">
        <x:v>5.0</x:v>
      </x:c>
      <x:c r="B14" s="54" t="s">
        <x:v>148</x:v>
      </x:c>
      <x:c r="C14" s="55" t="str">
        <x:f t="array" ref="C14">IFS(D14="","", D14="A","NW", D14="B","NE", D14="C","SW", D14="D","SE",D14="Omit", "")</x:f>
        <x:v>NE</x:v>
      </x:c>
      <x:c r="D14" s="8" t="s">
        <x:v>159</x:v>
      </x:c>
      <x:c r="E14" s="56" t="str">
        <x:f t="shared" si="1"/>
        <x:v>Incorrect</x:v>
      </x:c>
      <x:c r="F14" s="40">
        <x:v>17.0</x:v>
      </x:c>
      <x:c r="G14" s="58" t="s">
        <x:v>174</x:v>
      </x:c>
      <x:c r="H14" s="62" t="str">
        <x:f t="array" ref="H14">IF($G14="","",TEXTJOIN("",TRUE,MID($B14,MID($G14,SEQUENCE(LEN($G14),1),1)+0,1)))</x:f>
        <x:v>Error: #VALUE!</x:v>
      </x:c>
      <x:c r="I14" s="66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4">
        <x:v>6.0</x:v>
      </x:c>
      <x:c r="B15" s="54" t="s">
        <x:v>152</x:v>
      </x:c>
      <x:c r="C15" s="55" t="str">
        <x:f t="array" ref="C15">IFS(D15="","", D15="A","SE", D15="B","NW", D15="C","NE", D15="D","SW",D15="Omit", "")</x:f>
        <x:v>SE</x:v>
      </x:c>
      <x:c r="D15" s="8" t="s">
        <x:v>153</x:v>
      </x:c>
      <x:c r="E15" s="63" t="str">
        <x:f t="shared" si="1"/>
        <x:v>Correct</x:v>
      </x:c>
      <x:c r="F15" s="40">
        <x:v>98.0</x:v>
      </x:c>
      <x:c r="G15" s="58" t="s">
        <x:v>175</x:v>
      </x:c>
      <x:c r="H15" s="62" t="str">
        <x:f t="array" ref="H15">IF($G15="","",TEXTJOIN("",TRUE,MID($B15,MID($G15,SEQUENCE(LEN($G15),1),1)+0,1)))</x:f>
        <x:v>Error: #VALUE!</x:v>
      </x:c>
      <x:c r="I15" s="66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4">
        <x:v>7.0</x:v>
      </x:c>
      <x:c r="B16" s="54" t="s">
        <x:v>155</x:v>
      </x:c>
      <x:c r="C16" s="55" t="str">
        <x:f t="array" ref="C16">IFS(D16="","", D16="A","SW", D16="B","SE", D16="C","NW", D16="D","NE",D16="Omit", "")</x:f>
        <x:v>SW</x:v>
      </x:c>
      <x:c r="D16" s="8" t="s">
        <x:v>153</x:v>
      </x:c>
      <x:c r="E16" s="63" t="str">
        <x:f t="shared" si="1"/>
        <x:v>Correct</x:v>
      </x:c>
      <x:c r="F16" s="40">
        <x:v>15.0</x:v>
      </x:c>
      <x:c r="G16" s="58" t="s">
        <x:v>176</x:v>
      </x:c>
      <x:c r="H16" s="62" t="str">
        <x:f t="array" ref="H16">IF($G16="","",TEXTJOIN("",TRUE,MID($B16,MID($G16,SEQUENCE(LEN($G16),1),1)+0,1)))</x:f>
        <x:v>Error: #VALUE!</x:v>
      </x:c>
      <x:c r="I16" s="66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4">
        <x:v>8.0</x:v>
      </x:c>
      <x:c r="B17" s="54" t="s">
        <x:v>157</x:v>
      </x:c>
      <x:c r="C17" s="55" t="str">
        <x:f t="array" ref="C17">IFS(D17="","", D17="A","NE", D17="B","SW", D17="C","SE", D17="D","NW",D17="Omit", "")</x:f>
        <x:v>NE</x:v>
      </x:c>
      <x:c r="D17" s="8" t="s">
        <x:v>153</x:v>
      </x:c>
      <x:c r="E17" s="63" t="str">
        <x:f t="shared" si="1"/>
        <x:v>Correct</x:v>
      </x:c>
      <x:c r="F17" s="40">
        <x:v>21.0</x:v>
      </x:c>
      <x:c r="G17" s="58" t="s">
        <x:v>177</x:v>
      </x:c>
      <x:c r="H17" s="62" t="str">
        <x:f t="array" ref="H17">IF($G17="","",TEXTJOIN("",TRUE,MID($B17,MID($G17,SEQUENCE(LEN($G17),1),1)+0,1)))</x:f>
        <x:v>Error: #VALUE!</x:v>
      </x:c>
      <x:c r="I17" s="66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4">
        <x:v>9.0</x:v>
      </x:c>
      <x:c r="B18" s="54" t="s">
        <x:v>148</x:v>
      </x:c>
      <x:c r="C18" s="55" t="str">
        <x:f t="array" ref="C18">IFS(D18="","", D18="A","NW", D18="B","NE", D18="C","SW", D18="D","SE",D18="Omit", "")</x:f>
        <x:v>NW</x:v>
      </x:c>
      <x:c r="D18" s="8" t="s">
        <x:v>153</x:v>
      </x:c>
      <x:c r="E18" s="63" t="str">
        <x:f t="shared" si="1"/>
        <x:v>Correct</x:v>
      </x:c>
      <x:c r="F18" s="40">
        <x:v>63.0</x:v>
      </x:c>
      <x:c r="G18" s="58" t="s">
        <x:v>178</x:v>
      </x:c>
      <x:c r="H18" s="62" t="str">
        <x:f t="array" ref="H18">IF($G18="","",TEXTJOIN("",TRUE,MID($B18,MID($G18,SEQUENCE(LEN($G18),1),1)+0,1)))</x:f>
        <x:v>Error: #VALUE!</x:v>
      </x:c>
      <x:c r="I18" s="66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4">
        <x:v>10.0</x:v>
      </x:c>
      <x:c r="B19" s="54" t="s">
        <x:v>152</x:v>
      </x:c>
      <x:c r="C19" s="55" t="str">
        <x:f t="array" ref="C19">IFS(D19="","", D19="A","SE", D19="B","NW", D19="C","NE", D19="D","SW",D19="Omit", "")</x:f>
        <x:v>SE</x:v>
      </x:c>
      <x:c r="D19" s="8" t="s">
        <x:v>153</x:v>
      </x:c>
      <x:c r="E19" s="63" t="str">
        <x:f t="shared" si="1"/>
        <x:v>Correct</x:v>
      </x:c>
      <x:c r="F19" s="40">
        <x:v>9.0</x:v>
      </x:c>
      <x:c r="G19" s="58" t="s">
        <x:v>179</x:v>
      </x:c>
      <x:c r="H19" s="62" t="str">
        <x:f t="array" ref="H19">IF($G19="","",TEXTJOIN("",TRUE,MID($B19,MID($G19,SEQUENCE(LEN($G19),1),1)+0,1)))</x:f>
        <x:v>Error: #VALUE!</x:v>
      </x:c>
      <x:c r="I19" s="66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4">
        <x:v>11.0</x:v>
      </x:c>
      <x:c r="B20" s="54" t="s">
        <x:v>155</x:v>
      </x:c>
      <x:c r="C20" s="55" t="str">
        <x:f t="array" ref="C20">IFS(D20="","", D20="A","SW", D20="B","SE", D20="C","NW", D20="D","NE",D20="Omit", "")</x:f>
      </x:c>
      <x:c r="D20" s="70"/>
      <x:c r="E20" s="26" t="str">
        <x:f t="shared" si="1"/>
      </x:c>
      <x:c r="F20" s="71"/>
      <x:c r="G20" s="67"/>
      <x:c r="H20" s="26" t="str">
        <x:f t="array" ref="H20">IF($G20="","",TEXTJOIN("",TRUE,MID($B20,MID($G20,SEQUENCE(LEN($G20),1),1)+0,1)))</x:f>
      </x:c>
      <x:c r="I20" s="67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4">
        <x:v>12.0</x:v>
      </x:c>
      <x:c r="B21" s="54" t="s">
        <x:v>157</x:v>
      </x:c>
      <x:c r="C21" s="55" t="str">
        <x:f t="array" ref="C21">IFS(D21="","", D21="A","NE", D21="B","SW", D21="C","SE", D21="D","NW",D21="Omit", "")</x:f>
      </x:c>
      <x:c r="D21" s="70"/>
      <x:c r="E21" s="26" t="str">
        <x:f t="shared" si="1"/>
      </x:c>
      <x:c r="F21" s="71"/>
      <x:c r="G21" s="67"/>
      <x:c r="H21" s="26" t="str">
        <x:f t="array" ref="H21">IF($G21="","",TEXTJOIN("",TRUE,MID($B21,MID($G21,SEQUENCE(LEN($G21),1),1)+0,1)))</x:f>
      </x:c>
      <x:c r="I21" s="67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4">
        <x:v>13.0</x:v>
      </x:c>
      <x:c r="B22" s="54" t="s">
        <x:v>148</x:v>
      </x:c>
      <x:c r="C22" s="55" t="str">
        <x:f t="array" ref="C22">IFS(D22="","", D22="A","NW", D22="B","NE", D22="C","SW", D22="D","SE",D22="Omit", "")</x:f>
      </x:c>
      <x:c r="D22" s="70"/>
      <x:c r="E22" s="26" t="str">
        <x:f t="shared" si="1"/>
      </x:c>
      <x:c r="F22" s="71"/>
      <x:c r="G22" s="67"/>
      <x:c r="H22" s="26" t="str">
        <x:f t="array" ref="H22">IF($G22="","",TEXTJOIN("",TRUE,MID($B22,MID($G22,SEQUENCE(LEN($G22),1),1)+0,1)))</x:f>
      </x:c>
      <x:c r="I22" s="67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4">
        <x:v>14.0</x:v>
      </x:c>
      <x:c r="B23" s="54" t="s">
        <x:v>152</x:v>
      </x:c>
      <x:c r="C23" s="55" t="str">
        <x:f t="array" ref="C23">IFS(D23="","", D23="A","SE", D23="B","NW", D23="C","NE", D23="D","SW",D23="Omit", "")</x:f>
      </x:c>
      <x:c r="D23" s="70"/>
      <x:c r="E23" s="26" t="str">
        <x:f t="shared" si="1"/>
      </x:c>
      <x:c r="F23" s="71"/>
      <x:c r="G23" s="67"/>
      <x:c r="H23" s="26" t="str">
        <x:f t="array" ref="H23">IF($G23="","",TEXTJOIN("",TRUE,MID($B23,MID($G23,SEQUENCE(LEN($G23),1),1)+0,1)))</x:f>
      </x:c>
      <x:c r="I23" s="67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4">
        <x:v>15.0</x:v>
      </x:c>
      <x:c r="B24" s="54" t="s">
        <x:v>155</x:v>
      </x:c>
      <x:c r="C24" s="55" t="str">
        <x:f t="array" ref="C24">IFS(D24="","", D24="A","SW", D24="B","SE", D24="C","NW", D24="D","NE",D24="Omit", "")</x:f>
      </x:c>
      <x:c r="D24" s="70"/>
      <x:c r="E24" s="26" t="str">
        <x:f t="shared" si="1"/>
      </x:c>
      <x:c r="F24" s="71"/>
      <x:c r="G24" s="67"/>
      <x:c r="H24" s="26" t="str">
        <x:f t="array" ref="H24">IF($G24="","",TEXTJOIN("",TRUE,MID($B24,MID($G24,SEQUENCE(LEN($G24),1),1)+0,1)))</x:f>
      </x:c>
      <x:c r="I24" s="67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4">
        <x:v>16.0</x:v>
      </x:c>
      <x:c r="B25" s="54" t="s">
        <x:v>157</x:v>
      </x:c>
      <x:c r="C25" s="55" t="str">
        <x:f t="array" ref="C25">IFS(D25="","", D25="A","NE", D25="B","SW", D25="C","SE", D25="D","NW",D25="Omit", "")</x:f>
      </x:c>
      <x:c r="D25" s="70"/>
      <x:c r="E25" s="26" t="str">
        <x:f t="shared" si="1"/>
      </x:c>
      <x:c r="F25" s="71"/>
      <x:c r="G25" s="67"/>
      <x:c r="H25" s="26" t="str">
        <x:f t="array" ref="H25">IF($G25="","",TEXTJOIN("",TRUE,MID($B25,MID($G25,SEQUENCE(LEN($G25),1),1)+0,1)))</x:f>
      </x:c>
      <x:c r="I25" s="67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4">
        <x:v>17.0</x:v>
      </x:c>
      <x:c r="B26" s="54" t="s">
        <x:v>148</x:v>
      </x:c>
      <x:c r="C26" s="55" t="str">
        <x:f t="array" ref="C26">IFS(D26="","", D26="A","NW", D26="B","NE", D26="C","SW", D26="D","SE",D26="Omit", "")</x:f>
      </x:c>
      <x:c r="D26" s="70"/>
      <x:c r="E26" s="26" t="str">
        <x:f t="shared" si="1"/>
      </x:c>
      <x:c r="F26" s="71"/>
      <x:c r="G26" s="67"/>
      <x:c r="H26" s="26" t="str">
        <x:f t="array" ref="H26">IF($G26="","",TEXTJOIN("",TRUE,MID($B26,MID($G26,SEQUENCE(LEN($G26),1),1)+0,1)))</x:f>
      </x:c>
      <x:c r="I26" s="67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4">
        <x:v>18.0</x:v>
      </x:c>
      <x:c r="B27" s="54" t="s">
        <x:v>152</x:v>
      </x:c>
      <x:c r="C27" s="55" t="str">
        <x:f t="array" ref="C27">IFS(D27="","", D27="A","SE", D27="B","NW", D27="C","NE", D27="D","SW",D27="Omit", "")</x:f>
      </x:c>
      <x:c r="D27" s="70"/>
      <x:c r="E27" s="26" t="str">
        <x:f t="shared" si="1"/>
      </x:c>
      <x:c r="F27" s="71"/>
      <x:c r="G27" s="67"/>
      <x:c r="H27" s="26" t="str">
        <x:f t="array" ref="H27">IF($G27="","",TEXTJOIN("",TRUE,MID($B27,MID($G27,SEQUENCE(LEN($G27),1),1)+0,1)))</x:f>
      </x:c>
      <x:c r="I27" s="67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4">
        <x:v>19.0</x:v>
      </x:c>
      <x:c r="B28" s="54" t="s">
        <x:v>155</x:v>
      </x:c>
      <x:c r="C28" s="55" t="str">
        <x:f t="array" ref="C28">IFS(D28="","", D28="A","SW", D28="B","SE", D28="C","NW", D28="D","NE",D28="Omit", "")</x:f>
      </x:c>
      <x:c r="D28" s="70"/>
      <x:c r="E28" s="26" t="str">
        <x:f t="shared" si="1"/>
      </x:c>
      <x:c r="F28" s="71"/>
      <x:c r="G28" s="67"/>
      <x:c r="H28" s="26" t="str">
        <x:f t="array" ref="H28">IF($G28="","",TEXTJOIN("",TRUE,MID($B28,MID($G28,SEQUENCE(LEN($G28),1),1)+0,1)))</x:f>
      </x:c>
      <x:c r="I28" s="67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4">
        <x:v>20.0</x:v>
      </x:c>
      <x:c r="B29" s="54" t="s">
        <x:v>157</x:v>
      </x:c>
      <x:c r="C29" s="55" t="str">
        <x:f t="array" ref="C29">IFS(D29="","", D29="A","NE", D29="B","SW", D29="C","SE", D29="D","NW",D29="Omit", "")</x:f>
      </x:c>
      <x:c r="D29" s="70"/>
      <x:c r="E29" s="26" t="str">
        <x:f t="shared" si="1"/>
      </x:c>
      <x:c r="F29" s="71"/>
      <x:c r="G29" s="67"/>
      <x:c r="H29" s="26" t="str">
        <x:f t="array" ref="H29">IF($G29="","",TEXTJOIN("",TRUE,MID($B29,MID($G29,SEQUENCE(LEN($G29),1),1)+0,1)))</x:f>
      </x:c>
      <x:c r="I29" s="67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4">
        <x:v>21.0</x:v>
      </x:c>
      <x:c r="B30" s="54" t="s">
        <x:v>148</x:v>
      </x:c>
      <x:c r="C30" s="55" t="str">
        <x:f t="array" ref="C30">IFS(D30="","", D30="A","NW", D30="B","NE", D30="C","SW", D30="D","SE",D30="Omit", "")</x:f>
      </x:c>
      <x:c r="D30" s="70"/>
      <x:c r="E30" s="26" t="str">
        <x:f t="shared" si="1"/>
      </x:c>
      <x:c r="F30" s="71"/>
      <x:c r="G30" s="67"/>
      <x:c r="H30" s="26" t="str">
        <x:f t="array" ref="H30">IF($G30="","",TEXTJOIN("",TRUE,MID($B30,MID($G30,SEQUENCE(LEN($G30),1),1)+0,1)))</x:f>
      </x:c>
      <x:c r="I30" s="67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4">
        <x:v>22.0</x:v>
      </x:c>
      <x:c r="B31" s="54" t="s">
        <x:v>152</x:v>
      </x:c>
      <x:c r="C31" s="55" t="str">
        <x:f t="array" ref="C31">IFS(D31="","", D31="A","SE", D31="B","NW", D31="C","NE", D31="D","SW",D31="Omit", "")</x:f>
      </x:c>
      <x:c r="D31" s="70"/>
      <x:c r="E31" s="26" t="str">
        <x:f t="shared" si="1"/>
      </x:c>
      <x:c r="F31" s="71"/>
      <x:c r="G31" s="67"/>
      <x:c r="H31" s="26" t="str">
        <x:f t="array" ref="H31">IF($G31="","",TEXTJOIN("",TRUE,MID($B31,MID($G31,SEQUENCE(LEN($G31),1),1)+0,1)))</x:f>
      </x:c>
      <x:c r="I31" s="67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4">
        <x:v>23.0</x:v>
      </x:c>
      <x:c r="B32" s="54" t="s">
        <x:v>155</x:v>
      </x:c>
      <x:c r="C32" s="55" t="str">
        <x:f t="array" ref="C32">IFS(D32="","", D32="A","SW", D32="B","SE", D32="C","NW", D32="D","NE",D32="Omit", "")</x:f>
      </x:c>
      <x:c r="D32" s="70"/>
      <x:c r="E32" s="26" t="str">
        <x:f t="shared" si="1"/>
      </x:c>
      <x:c r="F32" s="71"/>
      <x:c r="G32" s="67"/>
      <x:c r="H32" s="26" t="str">
        <x:f t="array" ref="H32">IF($G32="","",TEXTJOIN("",TRUE,MID($B32,MID($G32,SEQUENCE(LEN($G32),1),1)+0,1)))</x:f>
      </x:c>
      <x:c r="I32" s="67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4">
        <x:v>24.0</x:v>
      </x:c>
      <x:c r="B33" s="54" t="s">
        <x:v>157</x:v>
      </x:c>
      <x:c r="C33" s="55" t="str">
        <x:f t="array" ref="C33">IFS(D33="","", D33="A","NE", D33="B","SW", D33="C","SE", D33="D","NW",D33="Omit", "")</x:f>
      </x:c>
      <x:c r="D33" s="70"/>
      <x:c r="E33" s="26" t="str">
        <x:f t="shared" si="1"/>
      </x:c>
      <x:c r="F33" s="71"/>
      <x:c r="G33" s="67"/>
      <x:c r="H33" s="26" t="str">
        <x:f t="array" ref="H33">IF($G33="","",TEXTJOIN("",TRUE,MID($B33,MID($G33,SEQUENCE(LEN($G33),1),1)+0,1)))</x:f>
      </x:c>
      <x:c r="I33" s="67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4">
        <x:v>25.0</x:v>
      </x:c>
      <x:c r="B34" s="54" t="s">
        <x:v>148</x:v>
      </x:c>
      <x:c r="C34" s="55" t="str">
        <x:f t="array" ref="C34">IFS(D34="","", D34="A","NW", D34="B","NE", D34="C","SW", D34="D","SE",D34="Omit", "")</x:f>
      </x:c>
      <x:c r="D34" s="70"/>
      <x:c r="E34" s="26" t="str">
        <x:f t="shared" si="1"/>
      </x:c>
      <x:c r="F34" s="71"/>
      <x:c r="G34" s="67"/>
      <x:c r="H34" s="26" t="str">
        <x:f t="array" ref="H34">IF($G34="","",TEXTJOIN("",TRUE,MID($B34,MID($G34,SEQUENCE(LEN($G34),1),1)+0,1)))</x:f>
      </x:c>
      <x:c r="I34" s="67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4">
        <x:v>26.0</x:v>
      </x:c>
      <x:c r="B35" s="54" t="s">
        <x:v>152</x:v>
      </x:c>
      <x:c r="C35" s="55" t="str">
        <x:f t="array" ref="C35">IFS(D35="","", D35="A","SE", D35="B","NW", D35="C","NE", D35="D","SW",D35="Omit", "")</x:f>
      </x:c>
      <x:c r="D35" s="70"/>
      <x:c r="E35" s="26" t="str">
        <x:f t="shared" si="1"/>
      </x:c>
      <x:c r="F35" s="71"/>
      <x:c r="G35" s="67"/>
      <x:c r="H35" s="26" t="str">
        <x:f t="array" ref="H35">IF($G35="","",TEXTJOIN("",TRUE,MID($B35,MID($G35,SEQUENCE(LEN($G35),1),1)+0,1)))</x:f>
      </x:c>
      <x:c r="I35" s="67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4">
        <x:v>27.0</x:v>
      </x:c>
      <x:c r="B36" s="54" t="s">
        <x:v>155</x:v>
      </x:c>
      <x:c r="C36" s="55" t="str">
        <x:f t="array" ref="C36">IFS(D36="","", D36="A","SW", D36="B","SE", D36="C","NW", D36="D","NE",D36="Omit", "")</x:f>
      </x:c>
      <x:c r="D36" s="70"/>
      <x:c r="E36" s="26" t="str">
        <x:f t="shared" si="1"/>
      </x:c>
      <x:c r="F36" s="71"/>
      <x:c r="G36" s="67"/>
      <x:c r="H36" s="26" t="str">
        <x:f t="array" ref="H36">IF($G36="","",TEXTJOIN("",TRUE,MID($B36,MID($G36,SEQUENCE(LEN($G36),1),1)+0,1)))</x:f>
      </x:c>
      <x:c r="I36" s="67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4">
        <x:v>28.0</x:v>
      </x:c>
      <x:c r="B37" s="54" t="s">
        <x:v>157</x:v>
      </x:c>
      <x:c r="C37" s="55" t="str">
        <x:f t="array" ref="C37">IFS(D37="","", D37="A","NE", D37="B","SW", D37="C","SE", D37="D","NW",D37="Omit", "")</x:f>
      </x:c>
      <x:c r="D37" s="70"/>
      <x:c r="E37" s="26" t="str">
        <x:f t="shared" si="1"/>
      </x:c>
      <x:c r="F37" s="71"/>
      <x:c r="G37" s="67"/>
      <x:c r="H37" s="26" t="str">
        <x:f t="array" ref="H37">IF($G37="","",TEXTJOIN("",TRUE,MID($B37,MID($G37,SEQUENCE(LEN($G37),1),1)+0,1)))</x:f>
      </x:c>
      <x:c r="I37" s="67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4">
        <x:v>29.0</x:v>
      </x:c>
      <x:c r="B38" s="54" t="s">
        <x:v>148</x:v>
      </x:c>
      <x:c r="C38" s="55" t="str">
        <x:f t="array" ref="C38">IFS(D38="","", D38="A","NW", D38="B","NE", D38="C","SW", D38="D","SE",D38="Omit", "")</x:f>
      </x:c>
      <x:c r="D38" s="70"/>
      <x:c r="E38" s="26" t="str">
        <x:f t="shared" si="1"/>
      </x:c>
      <x:c r="F38" s="71"/>
      <x:c r="G38" s="67"/>
      <x:c r="H38" s="26" t="str">
        <x:f t="array" ref="H38">IF($G38="","",TEXTJOIN("",TRUE,MID($B38,MID($G38,SEQUENCE(LEN($G38),1),1)+0,1)))</x:f>
      </x:c>
      <x:c r="I38" s="67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4">
        <x:v>30.0</x:v>
      </x:c>
      <x:c r="B39" s="54" t="s">
        <x:v>152</x:v>
      </x:c>
      <x:c r="C39" s="55" t="str">
        <x:f t="array" ref="C39">IFS(D39="","", D39="A","SE", D39="B","NW", D39="C","NE", D39="D","SW",D39="Omit", "")</x:f>
      </x:c>
      <x:c r="D39" s="70"/>
      <x:c r="E39" s="26" t="str">
        <x:f t="shared" si="1"/>
      </x:c>
      <x:c r="F39" s="71"/>
      <x:c r="G39" s="67"/>
      <x:c r="H39" s="26" t="str">
        <x:f t="array" ref="H39">IF($G39="","",TEXTJOIN("",TRUE,MID($B39,MID($G39,SEQUENCE(LEN($G39),1),1)+0,1)))</x:f>
      </x:c>
      <x:c r="I39" s="67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4">
        <x:v>31.0</x:v>
      </x:c>
      <x:c r="B40" s="54" t="s">
        <x:v>155</x:v>
      </x:c>
      <x:c r="C40" s="55" t="str">
        <x:f t="array" ref="C40">IFS(D40="","", D40="A","NW", D40="B","NE", D40="C","SW", D40="D","SE",D40="Omit", "")</x:f>
      </x:c>
      <x:c r="D40" s="70"/>
      <x:c r="E40" s="26" t="str">
        <x:f t="shared" si="1"/>
      </x:c>
      <x:c r="F40" s="71"/>
      <x:c r="G40" s="67"/>
      <x:c r="H40" s="26" t="str">
        <x:f t="array" ref="H40">IF($G40="","",TEXTJOIN("",TRUE,MID($B40,MID($G40,SEQUENCE(LEN($G40),1),1)+0,1)))</x:f>
      </x:c>
      <x:c r="I40" s="67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4">
        <x:v>32.0</x:v>
      </x:c>
      <x:c r="B41" s="54" t="s">
        <x:v>157</x:v>
      </x:c>
      <x:c r="C41" s="55" t="str">
        <x:f t="array" ref="C41">IFS(D41="","", D41="A","SE", D41="B","NW", D41="C","NE", D41="D","SW",D41="Omit", "")</x:f>
      </x:c>
      <x:c r="D41" s="70"/>
      <x:c r="E41" s="26" t="str">
        <x:f t="shared" si="1"/>
      </x:c>
      <x:c r="F41" s="71"/>
      <x:c r="G41" s="67"/>
      <x:c r="H41" s="26" t="str">
        <x:f t="array" ref="H41">IF($G41="","",TEXTJOIN("",TRUE,MID($B41,MID($G41,SEQUENCE(LEN($G41),1),1)+0,1)))</x:f>
      </x:c>
      <x:c r="I41" s="67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4">
        <x:v>33.0</x:v>
      </x:c>
      <x:c r="B42" s="54" t="s">
        <x:v>148</x:v>
      </x:c>
      <x:c r="C42" s="55" t="str">
        <x:f t="array" ref="C42">IFS(D42="","", D42="A","SW", D42="B","SE", D42="C","NW", D42="D","NE",D42="Omit", "")</x:f>
      </x:c>
      <x:c r="D42" s="70"/>
      <x:c r="E42" s="26" t="str">
        <x:f t="shared" si="1"/>
      </x:c>
      <x:c r="F42" s="71"/>
      <x:c r="G42" s="67"/>
      <x:c r="H42" s="26" t="str">
        <x:f t="array" ref="H42">IF($G42="","",TEXTJOIN("",TRUE,MID($B42,MID($G42,SEQUENCE(LEN($G42),1),1)+0,1)))</x:f>
      </x:c>
      <x:c r="I42" s="67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4">
        <x:v>34.0</x:v>
      </x:c>
      <x:c r="B43" s="54" t="s">
        <x:v>152</x:v>
      </x:c>
      <x:c r="C43" s="55" t="str">
        <x:f t="array" ref="C43">IFS(D43="","", D43="A","NE", D43="B","SW", D43="C","SE", D43="D","NW",D43="Omit", "")</x:f>
      </x:c>
      <x:c r="D43" s="70"/>
      <x:c r="E43" s="26" t="str">
        <x:f t="shared" si="1"/>
      </x:c>
      <x:c r="F43" s="71"/>
      <x:c r="G43" s="67"/>
      <x:c r="H43" s="26" t="str">
        <x:f t="array" ref="H43">IF($G43="","",TEXTJOIN("",TRUE,MID($B43,MID($G43,SEQUENCE(LEN($G43),1),1)+0,1)))</x:f>
      </x:c>
      <x:c r="I43" s="67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4">
        <x:v>35.0</x:v>
      </x:c>
      <x:c r="B44" s="54" t="s">
        <x:v>155</x:v>
      </x:c>
      <x:c r="C44" s="55" t="str">
        <x:f t="array" ref="C44">IFS(D44="","", D44="A","NW", D44="B","NE", D44="C","SW", D44="D","SE",D44="Omit", "")</x:f>
      </x:c>
      <x:c r="D44" s="70"/>
      <x:c r="E44" s="26" t="str">
        <x:f t="shared" si="1"/>
      </x:c>
      <x:c r="F44" s="71"/>
      <x:c r="G44" s="67"/>
      <x:c r="H44" s="26" t="str">
        <x:f t="array" ref="H44">IF($G44="","",TEXTJOIN("",TRUE,MID($B44,MID($G44,SEQUENCE(LEN($G44),1),1)+0,1)))</x:f>
      </x:c>
      <x:c r="I44" s="67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4">
        <x:v>36.0</x:v>
      </x:c>
      <x:c r="B45" s="54" t="s">
        <x:v>157</x:v>
      </x:c>
      <x:c r="C45" s="55" t="str">
        <x:f t="array" ref="C45">IFS(D45="","", D45="A","SE", D45="B","NW", D45="C","NE", D45="D","SW",D45="Omit", "")</x:f>
      </x:c>
      <x:c r="D45" s="70"/>
      <x:c r="E45" s="26" t="str">
        <x:f t="shared" si="1"/>
      </x:c>
      <x:c r="F45" s="71"/>
      <x:c r="G45" s="67"/>
      <x:c r="H45" s="26" t="str">
        <x:f t="array" ref="H45">IF($G45="","",TEXTJOIN("",TRUE,MID($B45,MID($G45,SEQUENCE(LEN($G45),1),1)+0,1)))</x:f>
      </x:c>
      <x:c r="I45" s="67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4">
        <x:v>37.0</x:v>
      </x:c>
      <x:c r="B46" s="54" t="s">
        <x:v>148</x:v>
      </x:c>
      <x:c r="C46" s="55" t="str">
        <x:f t="array" ref="C46">IFS(D46="","", D46="A","SW", D46="B","SE", D46="C","NW", D46="D","NE",D46="Omit", "")</x:f>
      </x:c>
      <x:c r="D46" s="70"/>
      <x:c r="E46" s="26" t="str">
        <x:f t="shared" si="1"/>
      </x:c>
      <x:c r="F46" s="71"/>
      <x:c r="G46" s="67"/>
      <x:c r="H46" s="26" t="str">
        <x:f t="array" ref="H46">IF($G46="","",TEXTJOIN("",TRUE,MID($B46,MID($G46,SEQUENCE(LEN($G46),1),1)+0,1)))</x:f>
      </x:c>
      <x:c r="I46" s="67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4">
        <x:v>38.0</x:v>
      </x:c>
      <x:c r="B47" s="54" t="s">
        <x:v>152</x:v>
      </x:c>
      <x:c r="C47" s="55" t="str">
        <x:f t="array" ref="C47">IFS(D47="","", D47="A","NE", D47="B","SW", D47="C","SE", D47="D","NW",D47="Omit", "")</x:f>
      </x:c>
      <x:c r="D47" s="70"/>
      <x:c r="E47" s="26" t="str">
        <x:f t="shared" si="1"/>
      </x:c>
      <x:c r="F47" s="71"/>
      <x:c r="G47" s="67"/>
      <x:c r="H47" s="26" t="str">
        <x:f t="array" ref="H47">IF($G47="","",TEXTJOIN("",TRUE,MID($B47,MID($G47,SEQUENCE(LEN($G47),1),1)+0,1)))</x:f>
      </x:c>
      <x:c r="I47" s="67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4">
        <x:v>39.0</x:v>
      </x:c>
      <x:c r="B48" s="54" t="s">
        <x:v>155</x:v>
      </x:c>
      <x:c r="C48" s="55" t="str">
        <x:f t="array" ref="C48">IFS(D48="","", D48="A","NW", D48="B","NE", D48="C","SW", D48="D","SE",D48="Omit", "")</x:f>
      </x:c>
      <x:c r="D48" s="70"/>
      <x:c r="E48" s="26" t="str">
        <x:f t="shared" si="1"/>
      </x:c>
      <x:c r="F48" s="71"/>
      <x:c r="G48" s="67"/>
      <x:c r="H48" s="26" t="str">
        <x:f t="array" ref="H48">IF($G48="","",TEXTJOIN("",TRUE,MID($B48,MID($G48,SEQUENCE(LEN($G48),1),1)+0,1)))</x:f>
      </x:c>
      <x:c r="I48" s="67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4">
        <x:v>40.0</x:v>
      </x:c>
      <x:c r="B49" s="54" t="s">
        <x:v>157</x:v>
      </x:c>
      <x:c r="C49" s="55" t="str">
        <x:f t="array" ref="C49">IFS(D49="","", D49="A","SE", D49="B","NW", D49="C","NE", D49="D","SW",D49="Omit", "")</x:f>
      </x:c>
      <x:c r="D49" s="70"/>
      <x:c r="E49" s="26" t="str">
        <x:f t="shared" si="1"/>
      </x:c>
      <x:c r="F49" s="71"/>
      <x:c r="G49" s="67"/>
      <x:c r="H49" s="26" t="str">
        <x:f t="array" ref="H49">IF($G49="","",TEXTJOIN("",TRUE,MID($B49,MID($G49,SEQUENCE(LEN($G49),1),1)+0,1)))</x:f>
      </x:c>
      <x:c r="I49" s="67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4">
        <x:v>41.0</x:v>
      </x:c>
      <x:c r="B50" s="54" t="s">
        <x:v>148</x:v>
      </x:c>
      <x:c r="C50" s="55" t="str">
        <x:f t="array" ref="C50">IFS(D50="","", D50="A","SW", D50="B","SE", D50="C","NW", D50="D","NE",D50="Omit", "")</x:f>
      </x:c>
      <x:c r="D50" s="70"/>
      <x:c r="E50" s="26" t="str">
        <x:f t="shared" si="1"/>
      </x:c>
      <x:c r="F50" s="71"/>
      <x:c r="G50" s="67"/>
      <x:c r="H50" s="26" t="str">
        <x:f t="array" ref="H50">IF($G50="","",TEXTJOIN("",TRUE,MID($B50,MID($G50,SEQUENCE(LEN($G50),1),1)+0,1)))</x:f>
      </x:c>
      <x:c r="I50" s="67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4">
        <x:v>42.0</x:v>
      </x:c>
      <x:c r="B51" s="54" t="s">
        <x:v>152</x:v>
      </x:c>
      <x:c r="C51" s="55" t="str">
        <x:f t="array" ref="C51">IFS(D51="","", D51="A","NE", D51="B","SW", D51="C","SE", D51="D","NW",D51="Omit", "")</x:f>
      </x:c>
      <x:c r="D51" s="70"/>
      <x:c r="E51" s="26" t="str">
        <x:f t="shared" si="1"/>
      </x:c>
      <x:c r="F51" s="71"/>
      <x:c r="G51" s="67"/>
      <x:c r="H51" s="26" t="str">
        <x:f t="array" ref="H51">IF($G51="","",TEXTJOIN("",TRUE,MID($B51,MID($G51,SEQUENCE(LEN($G51),1),1)+0,1)))</x:f>
      </x:c>
      <x:c r="I51" s="67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4">
        <x:v>43.0</x:v>
      </x:c>
      <x:c r="B52" s="54" t="s">
        <x:v>155</x:v>
      </x:c>
      <x:c r="C52" s="55" t="str">
        <x:f t="array" ref="C52">IFS(D52="","", D52="A","NW", D52="B","NE", D52="C","SW", D52="D","SE",D52="Omit", "")</x:f>
      </x:c>
      <x:c r="D52" s="70"/>
      <x:c r="E52" s="26" t="str">
        <x:f t="shared" si="1"/>
      </x:c>
      <x:c r="F52" s="71"/>
      <x:c r="G52" s="67"/>
      <x:c r="H52" s="26" t="str">
        <x:f t="array" ref="H52">IF($G52="","",TEXTJOIN("",TRUE,MID($B52,MID($G52,SEQUENCE(LEN($G52),1),1)+0,1)))</x:f>
      </x:c>
      <x:c r="I52" s="6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4">
        <x:v>44.0</x:v>
      </x:c>
      <x:c r="B53" s="54" t="s">
        <x:v>157</x:v>
      </x:c>
      <x:c r="C53" s="55" t="str">
        <x:f t="array" ref="C53">IFS(D53="","", D53="A","SE", D53="B","NW", D53="C","NE", D53="D","SW",D53="Omit", "")</x:f>
      </x:c>
      <x:c r="D53" s="70"/>
      <x:c r="E53" s="26" t="str">
        <x:f t="shared" si="1"/>
      </x:c>
      <x:c r="F53" s="71"/>
      <x:c r="G53" s="67"/>
      <x:c r="H53" s="26" t="str">
        <x:f t="array" ref="H53">IF($G53="","",TEXTJOIN("",TRUE,MID($B53,MID($G53,SEQUENCE(LEN($G53),1),1)+0,1)))</x:f>
      </x:c>
      <x:c r="I53" s="6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4">
        <x:v>45.0</x:v>
      </x:c>
      <x:c r="B54" s="54" t="s">
        <x:v>148</x:v>
      </x:c>
      <x:c r="C54" s="55" t="str">
        <x:f t="array" ref="C54">IFS(D54="","", D54="A","SW", D54="B","SE", D54="C","NW", D54="D","NE",D54="Omit", "")</x:f>
      </x:c>
      <x:c r="D54" s="70"/>
      <x:c r="E54" s="26" t="str">
        <x:f t="shared" si="1"/>
      </x:c>
      <x:c r="F54" s="71"/>
      <x:c r="G54" s="67"/>
      <x:c r="H54" s="26" t="str">
        <x:f t="array" ref="H54">IF($G54="","",TEXTJOIN("",TRUE,MID($B54,MID($G54,SEQUENCE(LEN($G54),1),1)+0,1)))</x:f>
      </x:c>
      <x:c r="I54" s="6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4">
        <x:v>46.0</x:v>
      </x:c>
      <x:c r="B55" s="54" t="s">
        <x:v>152</x:v>
      </x:c>
      <x:c r="C55" s="55" t="str">
        <x:f t="array" ref="C55">IFS(D55="","", D55="A","NE", D55="B","SW", D55="C","SE", D55="D","NW",D55="Omit", "")</x:f>
      </x:c>
      <x:c r="D55" s="70"/>
      <x:c r="E55" s="26" t="str">
        <x:f t="shared" si="1"/>
      </x:c>
      <x:c r="F55" s="71"/>
      <x:c r="G55" s="67"/>
      <x:c r="H55" s="26" t="str">
        <x:f t="array" ref="H55">IF($G55="","",TEXTJOIN("",TRUE,MID($B55,MID($G55,SEQUENCE(LEN($G55),1),1)+0,1)))</x:f>
      </x:c>
      <x:c r="I55" s="6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4">
        <x:v>47.0</x:v>
      </x:c>
      <x:c r="B56" s="54" t="s">
        <x:v>155</x:v>
      </x:c>
      <x:c r="C56" s="55" t="str">
        <x:f t="array" ref="C56">IFS(D56="","", D56="A","NW", D56="B","NE", D56="C","SW", D56="D","SE",D56="Omit", "")</x:f>
      </x:c>
      <x:c r="D56" s="70"/>
      <x:c r="E56" s="26" t="str">
        <x:f t="shared" si="1"/>
      </x:c>
      <x:c r="F56" s="71"/>
      <x:c r="G56" s="67"/>
      <x:c r="H56" s="26" t="str">
        <x:f t="array" ref="H56">IF($G56="","",TEXTJOIN("",TRUE,MID($B56,MID($G56,SEQUENCE(LEN($G56),1),1)+0,1)))</x:f>
      </x:c>
      <x:c r="I56" s="6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4">
        <x:v>48.0</x:v>
      </x:c>
      <x:c r="B57" s="54" t="s">
        <x:v>157</x:v>
      </x:c>
      <x:c r="C57" s="55" t="str">
        <x:f t="array" ref="C57">IFS(D57="","", D57="A","SE", D57="B","NW", D57="C","NE", D57="D","SW",D57="Omit", "")</x:f>
      </x:c>
      <x:c r="D57" s="70"/>
      <x:c r="E57" s="26" t="str">
        <x:f t="shared" si="1"/>
      </x:c>
      <x:c r="F57" s="71"/>
      <x:c r="G57" s="67"/>
      <x:c r="H57" s="26" t="str">
        <x:f t="array" ref="H57">IF($G57="","",TEXTJOIN("",TRUE,MID($B57,MID($G57,SEQUENCE(LEN($G57),1),1)+0,1)))</x:f>
      </x:c>
      <x:c r="I57" s="6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4">
        <x:v>49.0</x:v>
      </x:c>
      <x:c r="B58" s="54" t="s">
        <x:v>148</x:v>
      </x:c>
      <x:c r="C58" s="55" t="str">
        <x:f t="array" ref="C58">IFS(D58="","", D58="A","SW", D58="B","SE", D58="C","NW", D58="D","NE",D58="Omit", "")</x:f>
      </x:c>
      <x:c r="D58" s="70"/>
      <x:c r="E58" s="26" t="str">
        <x:f t="shared" si="1"/>
      </x:c>
      <x:c r="F58" s="71"/>
      <x:c r="G58" s="67"/>
      <x:c r="H58" s="26" t="str">
        <x:f t="array" ref="H58">IF($G58="","",TEXTJOIN("",TRUE,MID($B58,MID($G58,SEQUENCE(LEN($G58),1),1)+0,1)))</x:f>
      </x:c>
      <x:c r="I58" s="6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4">
        <x:v>50.0</x:v>
      </x:c>
      <x:c r="B59" s="54" t="s">
        <x:v>152</x:v>
      </x:c>
      <x:c r="C59" s="55" t="str">
        <x:f t="array" ref="C59">IFS(D59="","", D59="A","NE", D59="B","SW", D59="C","SE", D59="D","NW",D59="Omit", "")</x:f>
      </x:c>
      <x:c r="D59" s="70"/>
      <x:c r="E59" s="26" t="str">
        <x:f t="shared" si="1"/>
      </x:c>
      <x:c r="F59" s="71"/>
      <x:c r="G59" s="67"/>
      <x:c r="H59" s="26" t="str">
        <x:f t="array" ref="H59">IF($G59="","",TEXTJOIN("",TRUE,MID($B59,MID($G59,SEQUENCE(LEN($G59),1),1)+0,1)))</x:f>
      </x:c>
      <x:c r="I59" s="6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4">
        <x:v>51.0</x:v>
      </x:c>
      <x:c r="B60" s="54" t="s">
        <x:v>155</x:v>
      </x:c>
      <x:c r="C60" s="55" t="str">
        <x:f t="array" ref="C60">IFS(D60="","", D60="A","NW", D60="B","NE", D60="C","SW", D60="D","SE",D60="Omit", "")</x:f>
      </x:c>
      <x:c r="D60" s="70"/>
      <x:c r="E60" s="26" t="str">
        <x:f t="shared" si="1"/>
      </x:c>
      <x:c r="F60" s="71"/>
      <x:c r="G60" s="67"/>
      <x:c r="H60" s="26" t="str">
        <x:f t="array" ref="H60">IF($G60="","",TEXTJOIN("",TRUE,MID($B60,MID($G60,SEQUENCE(LEN($G60),1),1)+0,1)))</x:f>
      </x:c>
      <x:c r="I60" s="6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4">
        <x:v>52.0</x:v>
      </x:c>
      <x:c r="B61" s="54" t="s">
        <x:v>157</x:v>
      </x:c>
      <x:c r="C61" s="55" t="str">
        <x:f t="array" ref="C61">IFS(D61="","", D61="A","SE", D61="B","NW", D61="C","NE", D61="D","SW",D61="Omit", "")</x:f>
      </x:c>
      <x:c r="D61" s="70"/>
      <x:c r="E61" s="26" t="str">
        <x:f t="shared" si="1"/>
      </x:c>
      <x:c r="F61" s="71"/>
      <x:c r="G61" s="67"/>
      <x:c r="H61" s="26" t="str">
        <x:f t="array" ref="H61">IF($G61="","",TEXTJOIN("",TRUE,MID($B61,MID($G61,SEQUENCE(LEN($G61),1),1)+0,1)))</x:f>
      </x:c>
      <x:c r="I61" s="6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4">
        <x:v>53.0</x:v>
      </x:c>
      <x:c r="B62" s="54" t="s">
        <x:v>148</x:v>
      </x:c>
      <x:c r="C62" s="55" t="str">
        <x:f t="array" ref="C62">IFS(D62="","", D62="A","SW", D62="B","SE", D62="C","NW", D62="D","NE",D62="Omit", "")</x:f>
      </x:c>
      <x:c r="D62" s="70"/>
      <x:c r="E62" s="26" t="str">
        <x:f t="shared" si="1"/>
      </x:c>
      <x:c r="F62" s="71"/>
      <x:c r="G62" s="67"/>
      <x:c r="H62" s="26" t="str">
        <x:f t="array" ref="H62">IF($G62="","",TEXTJOIN("",TRUE,MID($B62,MID($G62,SEQUENCE(LEN($G62),1),1)+0,1)))</x:f>
      </x:c>
      <x:c r="I62" s="6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4">
        <x:v>54.0</x:v>
      </x:c>
      <x:c r="B63" s="54" t="s">
        <x:v>152</x:v>
      </x:c>
      <x:c r="C63" s="55" t="str">
        <x:f t="array" ref="C63">IFS(D63="","", D63="A","NE", D63="B","SW", D63="C","SE", D63="D","NW",D63="Omit", "")</x:f>
      </x:c>
      <x:c r="D63" s="70"/>
      <x:c r="E63" s="26" t="str">
        <x:f t="shared" si="1"/>
      </x:c>
      <x:c r="F63" s="71"/>
      <x:c r="G63" s="67"/>
      <x:c r="H63" s="26" t="str">
        <x:f t="array" ref="H63">IF($G63="","",TEXTJOIN("",TRUE,MID($B63,MID($G63,SEQUENCE(LEN($G63),1),1)+0,1)))</x:f>
      </x:c>
      <x:c r="I63" s="6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4">
        <x:v>55.0</x:v>
      </x:c>
      <x:c r="B64" s="54" t="s">
        <x:v>155</x:v>
      </x:c>
      <x:c r="C64" s="55" t="str">
        <x:f t="array" ref="C64">IFS(D64="","", D64="A","NW", D64="B","NE", D64="C","SW", D64="D","SE",D64="Omit", "")</x:f>
      </x:c>
      <x:c r="D64" s="70"/>
      <x:c r="E64" s="26" t="str">
        <x:f t="shared" si="1"/>
      </x:c>
      <x:c r="F64" s="71"/>
      <x:c r="G64" s="67"/>
      <x:c r="H64" s="26" t="str">
        <x:f t="array" ref="H64">IF($G64="","",TEXTJOIN("",TRUE,MID($B64,MID($G64,SEQUENCE(LEN($G64),1),1)+0,1)))</x:f>
      </x:c>
      <x:c r="I64" s="6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4">
        <x:v>56.0</x:v>
      </x:c>
      <x:c r="B65" s="54" t="s">
        <x:v>157</x:v>
      </x:c>
      <x:c r="C65" s="55" t="str">
        <x:f t="array" ref="C65">IFS(D65="","", D65="A","SE", D65="B","NW", D65="C","NE", D65="D","SW",D65="Omit", "")</x:f>
      </x:c>
      <x:c r="D65" s="70"/>
      <x:c r="E65" s="26" t="str">
        <x:f t="shared" si="1"/>
      </x:c>
      <x:c r="F65" s="71"/>
      <x:c r="G65" s="67"/>
      <x:c r="H65" s="26" t="str">
        <x:f t="array" ref="H65">IF($G65="","",TEXTJOIN("",TRUE,MID($B65,MID($G65,SEQUENCE(LEN($G65),1),1)+0,1)))</x:f>
      </x:c>
      <x:c r="I65" s="6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4">
        <x:v>57.0</x:v>
      </x:c>
      <x:c r="B66" s="54" t="s">
        <x:v>148</x:v>
      </x:c>
      <x:c r="C66" s="55" t="str">
        <x:f t="array" ref="C66">IFS(D66="","", D66="A","SW", D66="B","SE", D66="C","NW", D66="D","NE",D66="Omit", "")</x:f>
      </x:c>
      <x:c r="D66" s="70"/>
      <x:c r="E66" s="26" t="str">
        <x:f t="shared" si="1"/>
      </x:c>
      <x:c r="F66" s="71"/>
      <x:c r="G66" s="67"/>
      <x:c r="H66" s="26" t="str">
        <x:f t="array" ref="H66">IF($G66="","",TEXTJOIN("",TRUE,MID($B66,MID($G66,SEQUENCE(LEN($G66),1),1)+0,1)))</x:f>
      </x:c>
      <x:c r="I66" s="6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4">
        <x:v>58.0</x:v>
      </x:c>
      <x:c r="B67" s="54" t="s">
        <x:v>152</x:v>
      </x:c>
      <x:c r="C67" s="55" t="str">
        <x:f t="array" ref="C67">IFS(D67="","", D67="A","NE", D67="B","SW", D67="C","SE", D67="D","NW",D67="Omit", "")</x:f>
      </x:c>
      <x:c r="D67" s="70"/>
      <x:c r="E67" s="26" t="str">
        <x:f t="shared" si="1"/>
      </x:c>
      <x:c r="F67" s="71"/>
      <x:c r="G67" s="67"/>
      <x:c r="H67" s="26" t="str">
        <x:f t="array" ref="H67">IF($G67="","",TEXTJOIN("",TRUE,MID($B67,MID($G67,SEQUENCE(LEN($G67),1),1)+0,1)))</x:f>
      </x:c>
      <x:c r="I67" s="6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4">
        <x:v>59.0</x:v>
      </x:c>
      <x:c r="B68" s="54" t="s">
        <x:v>155</x:v>
      </x:c>
      <x:c r="C68" s="55" t="str">
        <x:f t="array" ref="C68">IFS(D68="","", D68="A","NW", D68="B","NE", D68="C","SW", D68="D","SE",D68="Omit", "")</x:f>
      </x:c>
      <x:c r="D68" s="70"/>
      <x:c r="E68" s="26" t="str">
        <x:f t="shared" si="1"/>
      </x:c>
      <x:c r="F68" s="71"/>
      <x:c r="G68" s="67"/>
      <x:c r="H68" s="26" t="str">
        <x:f t="array" ref="H68">IF($G68="","",TEXTJOIN("",TRUE,MID($B68,MID($G68,SEQUENCE(LEN($G68),1),1)+0,1)))</x:f>
      </x:c>
      <x:c r="I68" s="6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4">
        <x:v>60.0</x:v>
      </x:c>
      <x:c r="B69" s="54" t="s">
        <x:v>157</x:v>
      </x:c>
      <x:c r="C69" s="55" t="str">
        <x:f t="array" ref="C69">IFS(D69="","", D69="A","SE", D69="B","NW", D69="C","NE", D69="D","SW",D69="Omit", "")</x:f>
      </x:c>
      <x:c r="D69" s="70"/>
      <x:c r="E69" s="26" t="str">
        <x:f t="shared" si="1"/>
      </x:c>
      <x:c r="F69" s="71"/>
      <x:c r="G69" s="67"/>
      <x:c r="H69" s="26" t="str">
        <x:f t="array" ref="H69">IF($G69="","",TEXTJOIN("",TRUE,MID($B69,MID($G69,SEQUENCE(LEN($G69),1),1)+0,1)))</x:f>
      </x:c>
      <x:c r="I69" s="6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4">
        <x:v>61.0</x:v>
      </x:c>
      <x:c r="B70" s="54" t="s">
        <x:v>148</x:v>
      </x:c>
      <x:c r="C70" s="55" t="str">
        <x:f t="array" ref="C70">IFS(D70="","", D70="A","NW", D70="B","NE", D70="C","SW", D70="D","SE",D70="Omit", "")</x:f>
      </x:c>
      <x:c r="D70" s="70"/>
      <x:c r="E70" s="26" t="str">
        <x:f t="shared" si="1"/>
      </x:c>
      <x:c r="F70" s="71"/>
      <x:c r="G70" s="67"/>
      <x:c r="H70" s="26" t="str">
        <x:f t="array" ref="H70">IF($G70="","",TEXTJOIN("",TRUE,MID($B70,MID($G70,SEQUENCE(LEN($G70),1),1)+0,1)))</x:f>
      </x:c>
      <x:c r="I70" s="6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4">
        <x:v>62.0</x:v>
      </x:c>
      <x:c r="B71" s="54" t="s">
        <x:v>152</x:v>
      </x:c>
      <x:c r="C71" s="55" t="str">
        <x:f t="array" ref="C71">IFS(D71="","", D71="A","SE", D71="B","NW", D71="C","NE", D71="D","SW",D71="Omit", "")</x:f>
      </x:c>
      <x:c r="D71" s="70"/>
      <x:c r="E71" s="26" t="str">
        <x:f t="shared" si="1"/>
      </x:c>
      <x:c r="F71" s="71"/>
      <x:c r="G71" s="67"/>
      <x:c r="H71" s="26" t="str">
        <x:f t="array" ref="H71">IF($G71="","",TEXTJOIN("",TRUE,MID($B71,MID($G71,SEQUENCE(LEN($G71),1),1)+0,1)))</x:f>
      </x:c>
      <x:c r="I71" s="6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4">
        <x:v>63.0</x:v>
      </x:c>
      <x:c r="B72" s="54" t="s">
        <x:v>155</x:v>
      </x:c>
      <x:c r="C72" s="55" t="str">
        <x:f t="array" ref="C72">IFS(D72="","", D72="A","SW", D72="B","SE", D72="C","NW", D72="D","NE",D72="Omit", "")</x:f>
      </x:c>
      <x:c r="D72" s="70"/>
      <x:c r="E72" s="26" t="str">
        <x:f t="shared" si="1"/>
      </x:c>
      <x:c r="F72" s="71"/>
      <x:c r="G72" s="67"/>
      <x:c r="H72" s="26" t="str">
        <x:f t="array" ref="H72">IF($G72="","",TEXTJOIN("",TRUE,MID($B72,MID($G72,SEQUENCE(LEN($G72),1),1)+0,1)))</x:f>
      </x:c>
      <x:c r="I72" s="6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4">
        <x:v>64.0</x:v>
      </x:c>
      <x:c r="B73" s="54" t="s">
        <x:v>157</x:v>
      </x:c>
      <x:c r="C73" s="55" t="str">
        <x:f t="array" ref="C73">IFS(D73="","", D73="A","NE", D73="B","SW", D73="C","SE", D73="D","NW",D73="Omit", "")</x:f>
      </x:c>
      <x:c r="D73" s="70"/>
      <x:c r="E73" s="26" t="str">
        <x:f t="shared" si="1"/>
      </x:c>
      <x:c r="F73" s="71"/>
      <x:c r="G73" s="67"/>
      <x:c r="H73" s="26" t="str">
        <x:f t="array" ref="H73">IF($G73="","",TEXTJOIN("",TRUE,MID($B73,MID($G73,SEQUENCE(LEN($G73),1),1)+0,1)))</x:f>
      </x:c>
      <x:c r="I73" s="6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4">
        <x:v>65.0</x:v>
      </x:c>
      <x:c r="B74" s="54" t="s">
        <x:v>148</x:v>
      </x:c>
      <x:c r="C74" s="55" t="str">
        <x:f t="array" ref="C74">IFS(D74="","", D74="A","NW", D74="B","NE", D74="C","SW", D74="D","SE",D74="Omit", "")</x:f>
      </x:c>
      <x:c r="D74" s="70"/>
      <x:c r="E74" s="26" t="str">
        <x:f t="shared" si="1"/>
      </x:c>
      <x:c r="F74" s="71"/>
      <x:c r="G74" s="67"/>
      <x:c r="H74" s="26" t="str">
        <x:f t="array" ref="H74">IF($G74="","",TEXTJOIN("",TRUE,MID($B74,MID($G74,SEQUENCE(LEN($G74),1),1)+0,1)))</x:f>
      </x:c>
      <x:c r="I74" s="67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4">
        <x:v>66.0</x:v>
      </x:c>
      <x:c r="B75" s="54" t="s">
        <x:v>152</x:v>
      </x:c>
      <x:c r="C75" s="55" t="str">
        <x:f t="array" ref="C75">IFS(D75="","", D75="A","SE", D75="B","NW", D75="C","NE", D75="D","SW",D75="Omit", "")</x:f>
      </x:c>
      <x:c r="D75" s="70"/>
      <x:c r="E75" s="26" t="str">
        <x:f t="shared" si="1"/>
      </x:c>
      <x:c r="F75" s="71"/>
      <x:c r="G75" s="67"/>
      <x:c r="H75" s="26" t="str">
        <x:f t="array" ref="H75">IF($G75="","",TEXTJOIN("",TRUE,MID($B75,MID($G75,SEQUENCE(LEN($G75),1),1)+0,1)))</x:f>
      </x:c>
      <x:c r="I75" s="67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4">
        <x:v>67.0</x:v>
      </x:c>
      <x:c r="B76" s="54" t="s">
        <x:v>155</x:v>
      </x:c>
      <x:c r="C76" s="55" t="str">
        <x:f t="array" ref="C76">IFS(D76="","", D76="A","SW", D76="B","SE", D76="C","NW", D76="D","NE",D76="Omit", "")</x:f>
      </x:c>
      <x:c r="D76" s="70"/>
      <x:c r="E76" s="26" t="str">
        <x:f t="shared" si="1"/>
      </x:c>
      <x:c r="F76" s="71"/>
      <x:c r="G76" s="67"/>
      <x:c r="H76" s="26" t="str">
        <x:f t="array" ref="H76">IF($G76="","",TEXTJOIN("",TRUE,MID($B76,MID($G76,SEQUENCE(LEN($G76),1),1)+0,1)))</x:f>
      </x:c>
      <x:c r="I76" s="67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4">
        <x:v>68.0</x:v>
      </x:c>
      <x:c r="B77" s="54" t="s">
        <x:v>157</x:v>
      </x:c>
      <x:c r="C77" s="55" t="str">
        <x:f t="array" ref="C77">IFS(D77="","", D77="A","NE", D77="B","SW", D77="C","SE", D77="D","NW",D77="Omit", "")</x:f>
      </x:c>
      <x:c r="D77" s="70"/>
      <x:c r="E77" s="26" t="str">
        <x:f t="shared" si="1"/>
      </x:c>
      <x:c r="F77" s="71"/>
      <x:c r="G77" s="67"/>
      <x:c r="H77" s="26" t="str">
        <x:f t="array" ref="H77">IF($G77="","",TEXTJOIN("",TRUE,MID($B77,MID($G77,SEQUENCE(LEN($G77),1),1)+0,1)))</x:f>
      </x:c>
      <x:c r="I77" s="67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4">
        <x:v>69.0</x:v>
      </x:c>
      <x:c r="B78" s="54" t="s">
        <x:v>148</x:v>
      </x:c>
      <x:c r="C78" s="55" t="str">
        <x:f t="array" ref="C78">IFS(D78="","", D78="A","NW", D78="B","NE", D78="C","SW", D78="D","SE",D78="Omit", "")</x:f>
      </x:c>
      <x:c r="D78" s="70"/>
      <x:c r="E78" s="26" t="str">
        <x:f t="shared" si="1"/>
      </x:c>
      <x:c r="F78" s="71"/>
      <x:c r="G78" s="67"/>
      <x:c r="H78" s="26" t="str">
        <x:f t="array" ref="H78">IF($G78="","",TEXTJOIN("",TRUE,MID($B78,MID($G78,SEQUENCE(LEN($G78),1),1)+0,1)))</x:f>
      </x:c>
      <x:c r="I78" s="67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4">
        <x:v>70.0</x:v>
      </x:c>
      <x:c r="B79" s="54" t="s">
        <x:v>152</x:v>
      </x:c>
      <x:c r="C79" s="55" t="str">
        <x:f t="array" ref="C79">IFS(D79="","", D79="A","SE", D79="B","NW", D79="C","NE", D79="D","SW",D79="Omit", "")</x:f>
      </x:c>
      <x:c r="D79" s="70"/>
      <x:c r="E79" s="26" t="str">
        <x:f t="shared" si="1"/>
      </x:c>
      <x:c r="F79" s="71"/>
      <x:c r="G79" s="67"/>
      <x:c r="H79" s="26" t="str">
        <x:f t="array" ref="H79">IF($G79="","",TEXTJOIN("",TRUE,MID($B79,MID($G79,SEQUENCE(LEN($G79),1),1)+0,1)))</x:f>
      </x:c>
      <x:c r="I79" s="67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4">
        <x:v>71.0</x:v>
      </x:c>
      <x:c r="B80" s="54" t="s">
        <x:v>155</x:v>
      </x:c>
      <x:c r="C80" s="55" t="str">
        <x:f t="array" ref="C80">IFS(D80="","", D80="A","SW", D80="B","SE", D80="C","NW", D80="D","NE",D80="Omit", "")</x:f>
      </x:c>
      <x:c r="D80" s="70"/>
      <x:c r="E80" s="26" t="str">
        <x:f t="shared" si="1"/>
      </x:c>
      <x:c r="F80" s="81"/>
      <x:c r="G80" s="81"/>
      <x:c r="H80" s="26" t="str">
        <x:f t="array" ref="H80">IF($G80="","",TEXTJOIN("",TRUE,MID($B80,MID($G80,SEQUENCE(LEN($G80),1),1)+0,1)))</x:f>
      </x:c>
      <x:c r="I80" s="81"/>
    </x:row>
    <x:row r="81">
      <x:c r="A81" s="54">
        <x:v>72.0</x:v>
      </x:c>
      <x:c r="B81" s="54" t="s">
        <x:v>157</x:v>
      </x:c>
      <x:c r="C81" s="55" t="str">
        <x:f t="array" ref="C81">IFS(D81="","", D81="A","NE", D81="B","SW", D81="C","SE", D81="D","NW",D81="Omit", "")</x:f>
      </x:c>
      <x:c r="D81" s="70"/>
      <x:c r="E81" s="26" t="str">
        <x:f t="shared" si="1"/>
      </x:c>
      <x:c r="F81" s="81"/>
      <x:c r="G81" s="81"/>
      <x:c r="H81" s="26" t="str">
        <x:f t="array" ref="H81">IF($G81="","",TEXTJOIN("",TRUE,MID($B81,MID($G81,SEQUENCE(LEN($G81),1),1)+0,1)))</x:f>
      </x:c>
      <x:c r="I81" s="81"/>
    </x:row>
    <x:row r="82">
      <x:c r="A82" s="54">
        <x:v>73.0</x:v>
      </x:c>
      <x:c r="B82" s="54" t="s">
        <x:v>148</x:v>
      </x:c>
      <x:c r="C82" s="55" t="str">
        <x:f t="array" ref="C82">IFS(D82="","", D82="A","NW", D82="B","NE", D82="C","SW", D82="D","SE",D82="Omit", "")</x:f>
      </x:c>
      <x:c r="D82" s="70"/>
      <x:c r="E82" s="26" t="str">
        <x:f t="shared" si="1"/>
      </x:c>
      <x:c r="F82" s="81"/>
      <x:c r="G82" s="81"/>
      <x:c r="H82" s="26" t="str">
        <x:f t="array" ref="H82">IF($G82="","",TEXTJOIN("",TRUE,MID($B82,MID($G82,SEQUENCE(LEN($G82),1),1)+0,1)))</x:f>
      </x:c>
      <x:c r="I82" s="81"/>
    </x:row>
    <x:row r="83">
      <x:c r="A83" s="54">
        <x:v>74.0</x:v>
      </x:c>
      <x:c r="B83" s="54" t="s">
        <x:v>152</x:v>
      </x:c>
      <x:c r="C83" s="55" t="str">
        <x:f t="array" ref="C83">IFS(D83="","", D83="A","SE", D83="B","NW", D83="C","NE", D83="D","SW",D83="Omit", "")</x:f>
      </x:c>
      <x:c r="D83" s="70"/>
      <x:c r="E83" s="26" t="str">
        <x:f t="shared" si="1"/>
      </x:c>
      <x:c r="F83" s="81"/>
      <x:c r="G83" s="81"/>
      <x:c r="H83" s="26" t="str">
        <x:f t="array" ref="H83">IF($G83="","",TEXTJOIN("",TRUE,MID($B83,MID($G83,SEQUENCE(LEN($G83),1),1)+0,1)))</x:f>
      </x:c>
      <x:c r="I83" s="81"/>
    </x:row>
    <x:row r="84">
      <x:c r="A84" s="54">
        <x:v>75.0</x:v>
      </x:c>
      <x:c r="B84" s="54" t="s">
        <x:v>155</x:v>
      </x:c>
      <x:c r="C84" s="55" t="str">
        <x:f t="array" ref="C84">IFS(D84="","", D84="A","SW", D84="B","SE", D84="C","NW", D84="D","NE",D84="Omit", "")</x:f>
      </x:c>
      <x:c r="D84" s="70"/>
      <x:c r="E84" s="26" t="str">
        <x:f t="shared" si="1"/>
      </x:c>
      <x:c r="F84" s="81"/>
      <x:c r="G84" s="81"/>
      <x:c r="H84" s="26" t="str">
        <x:f t="array" ref="H84">IF($G84="","",TEXTJOIN("",TRUE,MID($B84,MID($G84,SEQUENCE(LEN($G84),1),1)+0,1)))</x:f>
      </x:c>
      <x:c r="I84" s="81"/>
    </x:row>
    <x:row r="85">
      <x:c r="A85" s="54">
        <x:v>76.0</x:v>
      </x:c>
      <x:c r="B85" s="54" t="s">
        <x:v>157</x:v>
      </x:c>
      <x:c r="C85" s="55" t="str">
        <x:f t="array" ref="C85">IFS(D85="","", D85="A","NE", D85="B","SW", D85="C","SE", D85="D","NW",D85="Omit", "")</x:f>
      </x:c>
      <x:c r="D85" s="70"/>
      <x:c r="E85" s="26" t="str">
        <x:f t="shared" si="1"/>
      </x:c>
      <x:c r="F85" s="81"/>
      <x:c r="G85" s="81"/>
      <x:c r="H85" s="26" t="str">
        <x:f t="array" ref="H85">IF($G85="","",TEXTJOIN("",TRUE,MID($B85,MID($G85,SEQUENCE(LEN($G85),1),1)+0,1)))</x:f>
      </x:c>
      <x:c r="I85" s="81"/>
    </x:row>
    <x:row r="86">
      <x:c r="A86" s="54">
        <x:v>77.0</x:v>
      </x:c>
      <x:c r="B86" s="54" t="s">
        <x:v>148</x:v>
      </x:c>
      <x:c r="C86" s="55" t="str">
        <x:f t="array" ref="C86">IFS(D86="","", D86="A","NW", D86="B","NE", D86="C","SW", D86="D","SE",D86="Omit", "")</x:f>
      </x:c>
      <x:c r="D86" s="70"/>
      <x:c r="E86" s="26" t="str">
        <x:f t="shared" si="1"/>
      </x:c>
      <x:c r="F86" s="81"/>
      <x:c r="G86" s="81"/>
      <x:c r="H86" s="26" t="str">
        <x:f t="array" ref="H86">IF($G86="","",TEXTJOIN("",TRUE,MID($B86,MID($G86,SEQUENCE(LEN($G86),1),1)+0,1)))</x:f>
      </x:c>
      <x:c r="I86" s="81"/>
    </x:row>
    <x:row r="87">
      <x:c r="A87" s="54">
        <x:v>78.0</x:v>
      </x:c>
      <x:c r="B87" s="54" t="s">
        <x:v>152</x:v>
      </x:c>
      <x:c r="C87" s="55" t="str">
        <x:f t="array" ref="C87">IFS(D87="","", D87="A","SE", D87="B","NW", D87="C","NE", D87="D","SW",D87="Omit", "")</x:f>
      </x:c>
      <x:c r="D87" s="70"/>
      <x:c r="E87" s="26" t="str">
        <x:f t="shared" si="1"/>
      </x:c>
      <x:c r="F87" s="81"/>
      <x:c r="G87" s="81"/>
      <x:c r="H87" s="26" t="str">
        <x:f t="array" ref="H87">IF($G87="","",TEXTJOIN("",TRUE,MID($B87,MID($G87,SEQUENCE(LEN($G87),1),1)+0,1)))</x:f>
      </x:c>
      <x:c r="I87" s="81"/>
    </x:row>
    <x:row r="88">
      <x:c r="A88" s="54">
        <x:v>79.0</x:v>
      </x:c>
      <x:c r="B88" s="54" t="s">
        <x:v>155</x:v>
      </x:c>
      <x:c r="C88" s="55" t="str">
        <x:f t="array" ref="C88">IFS(D88="","", D88="A","SW", D88="B","SE", D88="C","NW", D88="D","NE",D88="Omit", "")</x:f>
      </x:c>
      <x:c r="D88" s="70"/>
      <x:c r="E88" s="26" t="str">
        <x:f t="shared" si="1"/>
      </x:c>
      <x:c r="F88" s="81"/>
      <x:c r="G88" s="81"/>
      <x:c r="H88" s="26" t="str">
        <x:f t="array" ref="H88">IF($G88="","",TEXTJOIN("",TRUE,MID($B88,MID($G88,SEQUENCE(LEN($G88),1),1)+0,1)))</x:f>
      </x:c>
      <x:c r="I88" s="81"/>
    </x:row>
    <x:row r="89">
      <x:c r="A89" s="54">
        <x:v>80.0</x:v>
      </x:c>
      <x:c r="B89" s="54" t="s">
        <x:v>157</x:v>
      </x:c>
      <x:c r="C89" s="55" t="str">
        <x:f t="array" ref="C89">IFS(D89="","", D89="A","NE", D89="B","SW", D89="C","SE", D89="D","NW",D89="Omit", "")</x:f>
      </x:c>
      <x:c r="D89" s="70"/>
      <x:c r="E89" s="26" t="str">
        <x:f t="shared" si="1"/>
      </x:c>
      <x:c r="F89" s="81"/>
      <x:c r="G89" s="81"/>
      <x:c r="H89" s="26" t="str">
        <x:f t="array" ref="H89">IF($G89="","",TEXTJOIN("",TRUE,MID($B89,MID($G89,SEQUENCE(LEN($G89),1),1)+0,1)))</x:f>
      </x:c>
      <x:c r="I89" s="81"/>
    </x:row>
    <x:row r="90">
      <x:c r="A90" s="54">
        <x:v>81.0</x:v>
      </x:c>
      <x:c r="B90" s="54" t="s">
        <x:v>148</x:v>
      </x:c>
      <x:c r="C90" s="55" t="str">
        <x:f t="array" ref="C90">IFS(D90="","", D90="A","NW", D90="B","NE", D90="C","SW", D90="D","SE",D90="Omit", "")</x:f>
      </x:c>
      <x:c r="D90" s="70"/>
      <x:c r="E90" s="26" t="str">
        <x:f t="shared" si="1"/>
      </x:c>
      <x:c r="F90" s="81"/>
      <x:c r="G90" s="81"/>
      <x:c r="H90" s="26" t="str">
        <x:f t="array" ref="H90">IF($G90="","",TEXTJOIN("",TRUE,MID($B90,MID($G90,SEQUENCE(LEN($G90),1),1)+0,1)))</x:f>
      </x:c>
      <x:c r="I90" s="81"/>
    </x:row>
    <x:row r="91">
      <x:c r="A91" s="54">
        <x:v>82.0</x:v>
      </x:c>
      <x:c r="B91" s="54" t="s">
        <x:v>152</x:v>
      </x:c>
      <x:c r="C91" s="55" t="str">
        <x:f t="array" ref="C91">IFS(D91="","", D91="A","SE", D91="B","NW", D91="C","NE", D91="D","SW",D91="Omit", "")</x:f>
      </x:c>
      <x:c r="D91" s="70"/>
      <x:c r="E91" s="26" t="str">
        <x:f t="shared" si="1"/>
      </x:c>
      <x:c r="F91" s="81"/>
      <x:c r="G91" s="81"/>
      <x:c r="H91" s="26" t="str">
        <x:f t="array" ref="H91">IF($G91="","",TEXTJOIN("",TRUE,MID($B91,MID($G91,SEQUENCE(LEN($G91),1),1)+0,1)))</x:f>
      </x:c>
      <x:c r="I91" s="81"/>
    </x:row>
    <x:row r="92">
      <x:c r="A92" s="54">
        <x:v>83.0</x:v>
      </x:c>
      <x:c r="B92" s="54" t="s">
        <x:v>155</x:v>
      </x:c>
      <x:c r="C92" s="55" t="str">
        <x:f t="array" ref="C92">IFS(D92="","", D92="A","SW", D92="B","SE", D92="C","NW", D92="D","NE",D92="Omit", "")</x:f>
      </x:c>
      <x:c r="D92" s="70"/>
      <x:c r="E92" s="26" t="str">
        <x:f t="shared" si="1"/>
      </x:c>
      <x:c r="F92" s="81"/>
      <x:c r="G92" s="81"/>
      <x:c r="H92" s="26" t="str">
        <x:f t="array" ref="H92">IF($G92="","",TEXTJOIN("",TRUE,MID($B92,MID($G92,SEQUENCE(LEN($G92),1),1)+0,1)))</x:f>
      </x:c>
      <x:c r="I92" s="81"/>
    </x:row>
    <x:row r="93">
      <x:c r="A93" s="54">
        <x:v>84.0</x:v>
      </x:c>
      <x:c r="B93" s="54" t="s">
        <x:v>157</x:v>
      </x:c>
      <x:c r="C93" s="55" t="str">
        <x:f t="array" ref="C93">IFS(D93="","", D93="A","NE", D93="B","SW", D93="C","SE", D93="D","NW",D93="Omit", "")</x:f>
      </x:c>
      <x:c r="D93" s="70"/>
      <x:c r="E93" s="26" t="str">
        <x:f t="shared" si="1"/>
      </x:c>
      <x:c r="F93" s="81"/>
      <x:c r="G93" s="81"/>
      <x:c r="H93" s="26" t="str">
        <x:f t="array" ref="H93">IF($G93="","",TEXTJOIN("",TRUE,MID($B93,MID($G93,SEQUENCE(LEN($G93),1),1)+0,1)))</x:f>
      </x:c>
      <x:c r="I93" s="81"/>
    </x:row>
    <x:row r="94">
      <x:c r="A94" s="54">
        <x:v>85.0</x:v>
      </x:c>
      <x:c r="B94" s="54" t="s">
        <x:v>148</x:v>
      </x:c>
      <x:c r="C94" s="55" t="str">
        <x:f t="array" ref="C94">IFS(D94="","", D94="A","NW", D94="B","NE", D94="C","SW", D94="D","SE",D94="Omit", "")</x:f>
      </x:c>
      <x:c r="D94" s="70"/>
      <x:c r="E94" s="26" t="str">
        <x:f t="shared" si="1"/>
      </x:c>
      <x:c r="F94" s="81"/>
      <x:c r="G94" s="81"/>
      <x:c r="H94" s="26" t="str">
        <x:f t="array" ref="H94">IF($G94="","",TEXTJOIN("",TRUE,MID($B94,MID($G94,SEQUENCE(LEN($G94),1),1)+0,1)))</x:f>
      </x:c>
      <x:c r="I94" s="81"/>
    </x:row>
    <x:row r="95">
      <x:c r="A95" s="54">
        <x:v>86.0</x:v>
      </x:c>
      <x:c r="B95" s="54" t="s">
        <x:v>152</x:v>
      </x:c>
      <x:c r="C95" s="55" t="str">
        <x:f t="array" ref="C95">IFS(D95="","", D95="A","SE", D95="B","NW", D95="C","NE", D95="D","SW",D95="Omit", "")</x:f>
      </x:c>
      <x:c r="D95" s="70"/>
      <x:c r="E95" s="26" t="str">
        <x:f t="shared" si="1"/>
      </x:c>
      <x:c r="F95" s="81"/>
      <x:c r="G95" s="81"/>
      <x:c r="H95" s="26" t="str">
        <x:f t="array" ref="H95">IF($G95="","",TEXTJOIN("",TRUE,MID($B95,MID($G95,SEQUENCE(LEN($G95),1),1)+0,1)))</x:f>
      </x:c>
      <x:c r="I95" s="81"/>
    </x:row>
    <x:row r="96">
      <x:c r="A96" s="54">
        <x:v>87.0</x:v>
      </x:c>
      <x:c r="B96" s="54" t="s">
        <x:v>155</x:v>
      </x:c>
      <x:c r="C96" s="55" t="str">
        <x:f t="array" ref="C96">IFS(D96="","", D96="A","SW", D96="B","SE", D96="C","NW", D96="D","NE",D96="Omit", "")</x:f>
      </x:c>
      <x:c r="D96" s="70"/>
      <x:c r="E96" s="26" t="str">
        <x:f t="shared" si="1"/>
      </x:c>
      <x:c r="F96" s="81"/>
      <x:c r="G96" s="81"/>
      <x:c r="H96" s="26" t="str">
        <x:f t="array" ref="H96">IF($G96="","",TEXTJOIN("",TRUE,MID($B96,MID($G96,SEQUENCE(LEN($G96),1),1)+0,1)))</x:f>
      </x:c>
      <x:c r="I96" s="81"/>
    </x:row>
    <x:row r="97">
      <x:c r="A97" s="54">
        <x:v>88.0</x:v>
      </x:c>
      <x:c r="B97" s="54" t="s">
        <x:v>157</x:v>
      </x:c>
      <x:c r="C97" s="55" t="str">
        <x:f t="array" ref="C97">IFS(D97="","", D97="A","NE", D97="B","SW", D97="C","SE", D97="D","NW",D97="Omit", "")</x:f>
      </x:c>
      <x:c r="D97" s="70"/>
      <x:c r="E97" s="26" t="str">
        <x:f t="shared" si="1"/>
      </x:c>
      <x:c r="F97" s="81"/>
      <x:c r="G97" s="81"/>
      <x:c r="H97" s="26" t="str">
        <x:f t="array" ref="H97">IF($G97="","",TEXTJOIN("",TRUE,MID($B97,MID($G97,SEQUENCE(LEN($G97),1),1)+0,1)))</x:f>
      </x:c>
      <x:c r="I97" s="81"/>
    </x:row>
    <x:row r="98">
      <x:c r="A98" s="54">
        <x:v>89.0</x:v>
      </x:c>
      <x:c r="B98" s="54" t="s">
        <x:v>148</x:v>
      </x:c>
      <x:c r="C98" s="55" t="str">
        <x:f t="array" ref="C98">IFS(D98="","", D98="A","NW", D98="B","NE", D98="C","SW", D98="D","SE",D98="Omit", "")</x:f>
      </x:c>
      <x:c r="D98" s="70"/>
      <x:c r="E98" s="26" t="str">
        <x:f t="shared" si="1"/>
      </x:c>
      <x:c r="F98" s="81"/>
      <x:c r="G98" s="81"/>
      <x:c r="H98" s="26" t="str">
        <x:f t="array" ref="H98">IF($G98="","",TEXTJOIN("",TRUE,MID($B98,MID($G98,SEQUENCE(LEN($G98),1),1)+0,1)))</x:f>
      </x:c>
      <x:c r="I98" s="81"/>
    </x:row>
    <x:row r="99">
      <x:c r="A99" s="54">
        <x:v>90.0</x:v>
      </x:c>
      <x:c r="B99" s="54" t="s">
        <x:v>152</x:v>
      </x:c>
      <x:c r="C99" s="55" t="str">
        <x:f t="array" ref="C99">IFS(D99="","", D99="A","SE", D99="B","NW", D99="C","NE", D99="D","SW",D99="Omit", "")</x:f>
      </x:c>
      <x:c r="D99" s="70"/>
      <x:c r="E99" s="26" t="str">
        <x:f t="shared" si="1"/>
      </x:c>
      <x:c r="F99" s="81"/>
      <x:c r="G99" s="81"/>
      <x:c r="H99" s="26" t="str">
        <x:f t="array" ref="H99">IF($G99="","",TEXTJOIN("",TRUE,MID($B99,MID($G99,SEQUENCE(LEN($G99),1),1)+0,1)))</x:f>
      </x:c>
      <x:c r="I99" s="81"/>
    </x:row>
    <x:row r="100">
      <x:c r="A100" s="54">
        <x:v>91.0</x:v>
      </x:c>
      <x:c r="B100" s="54" t="s">
        <x:v>155</x:v>
      </x:c>
      <x:c r="C100" s="55" t="str">
        <x:f t="array" ref="C100">IFS(D100="","", D100="A","NW", D100="B","NE", D100="C","SW", D100="D","SE",D100="Omit", "")</x:f>
      </x:c>
      <x:c r="D100" s="70"/>
      <x:c r="E100" s="26" t="str">
        <x:f t="shared" si="1"/>
      </x:c>
      <x:c r="F100" s="81"/>
      <x:c r="G100" s="81"/>
      <x:c r="H100" s="26" t="str">
        <x:f t="array" ref="H100">IF($G100="","",TEXTJOIN("",TRUE,MID($B100,MID($G100,SEQUENCE(LEN($G100),1),1)+0,1)))</x:f>
      </x:c>
      <x:c r="I100" s="81"/>
    </x:row>
    <x:row r="101">
      <x:c r="A101" s="54">
        <x:v>92.0</x:v>
      </x:c>
      <x:c r="B101" s="54" t="s">
        <x:v>157</x:v>
      </x:c>
      <x:c r="C101" s="55" t="str">
        <x:f t="array" ref="C101">IFS(D101="","", D101="A","SE", D101="B","NW", D101="C","NE", D101="D","SW",D101="Omit", "")</x:f>
      </x:c>
      <x:c r="D101" s="70"/>
      <x:c r="E101" s="26" t="str">
        <x:f t="shared" si="1"/>
      </x:c>
      <x:c r="F101" s="81"/>
      <x:c r="G101" s="81"/>
      <x:c r="H101" s="26" t="str">
        <x:f t="array" ref="H101">IF($G101="","",TEXTJOIN("",TRUE,MID($B101,MID($G101,SEQUENCE(LEN($G101),1),1)+0,1)))</x:f>
      </x:c>
      <x:c r="I101" s="81"/>
    </x:row>
    <x:row r="102">
      <x:c r="A102" s="54">
        <x:v>93.0</x:v>
      </x:c>
      <x:c r="B102" s="54" t="s">
        <x:v>148</x:v>
      </x:c>
      <x:c r="C102" s="55" t="str">
        <x:f t="array" ref="C102">IFS(D102="","", D102="A","SW", D102="B","SE", D102="C","NW", D102="D","NE",D102="Omit", "")</x:f>
      </x:c>
      <x:c r="D102" s="70"/>
      <x:c r="E102" s="26" t="str">
        <x:f t="shared" si="1"/>
      </x:c>
      <x:c r="F102" s="81"/>
      <x:c r="G102" s="81"/>
      <x:c r="H102" s="26" t="str">
        <x:f t="array" ref="H102">IF($G102="","",TEXTJOIN("",TRUE,MID($B102,MID($G102,SEQUENCE(LEN($G102),1),1)+0,1)))</x:f>
      </x:c>
      <x:c r="I102" s="81"/>
    </x:row>
    <x:row r="103">
      <x:c r="A103" s="54">
        <x:v>94.0</x:v>
      </x:c>
      <x:c r="B103" s="54" t="s">
        <x:v>152</x:v>
      </x:c>
      <x:c r="C103" s="55" t="str">
        <x:f t="array" ref="C103">IFS(D103="","", D103="A","NE", D103="B","SW", D103="C","SE", D103="D","NW",D103="Omit", "")</x:f>
      </x:c>
      <x:c r="D103" s="70"/>
      <x:c r="E103" s="26" t="str">
        <x:f t="shared" si="1"/>
      </x:c>
      <x:c r="F103" s="81"/>
      <x:c r="G103" s="81"/>
      <x:c r="H103" s="26" t="str">
        <x:f t="array" ref="H103">IF($G103="","",TEXTJOIN("",TRUE,MID($B103,MID($G103,SEQUENCE(LEN($G103),1),1)+0,1)))</x:f>
      </x:c>
      <x:c r="I103" s="81"/>
    </x:row>
    <x:row r="104">
      <x:c r="A104" s="54">
        <x:v>95.0</x:v>
      </x:c>
      <x:c r="B104" s="54" t="s">
        <x:v>155</x:v>
      </x:c>
      <x:c r="C104" s="55" t="str">
        <x:f t="array" ref="C104">IFS(D104="","", D104="A","NW", D104="B","NE", D104="C","SW", D104="D","SE",D104="Omit", "")</x:f>
      </x:c>
      <x:c r="D104" s="70"/>
      <x:c r="E104" s="26" t="str">
        <x:f t="shared" si="1"/>
      </x:c>
      <x:c r="F104" s="81"/>
      <x:c r="G104" s="81"/>
      <x:c r="H104" s="26" t="str">
        <x:f t="array" ref="H104">IF($G104="","",TEXTJOIN("",TRUE,MID($B104,MID($G104,SEQUENCE(LEN($G104),1),1)+0,1)))</x:f>
      </x:c>
      <x:c r="I104" s="81"/>
    </x:row>
    <x:row r="105">
      <x:c r="A105" s="54">
        <x:v>96.0</x:v>
      </x:c>
      <x:c r="B105" s="54" t="s">
        <x:v>157</x:v>
      </x:c>
      <x:c r="C105" s="55" t="str">
        <x:f t="array" ref="C105">IFS(D105="","", D105="A","SE", D105="B","NW", D105="C","NE", D105="D","SW",D105="Omit", "")</x:f>
      </x:c>
      <x:c r="D105" s="70"/>
      <x:c r="E105" s="26" t="str">
        <x:f t="shared" si="1"/>
      </x:c>
      <x:c r="F105" s="81"/>
      <x:c r="G105" s="81"/>
      <x:c r="H105" s="26" t="str">
        <x:f t="array" ref="H105">IF($G105="","",TEXTJOIN("",TRUE,MID($B105,MID($G105,SEQUENCE(LEN($G105),1),1)+0,1)))</x:f>
      </x:c>
      <x:c r="I105" s="81"/>
    </x:row>
    <x:row r="106">
      <x:c r="A106" s="54">
        <x:v>97.0</x:v>
      </x:c>
      <x:c r="B106" s="54" t="s">
        <x:v>148</x:v>
      </x:c>
      <x:c r="C106" s="55" t="str">
        <x:f t="array" ref="C106">IFS(D106="","", D106="A","SW", D106="B","SE", D106="C","NW", D106="D","NE",D106="Omit", "")</x:f>
      </x:c>
      <x:c r="D106" s="70"/>
      <x:c r="E106" s="26" t="str">
        <x:f t="shared" si="1"/>
      </x:c>
      <x:c r="F106" s="81"/>
      <x:c r="G106" s="81"/>
      <x:c r="H106" s="26" t="str">
        <x:f t="array" ref="H106">IF($G106="","",TEXTJOIN("",TRUE,MID($B106,MID($G106,SEQUENCE(LEN($G106),1),1)+0,1)))</x:f>
      </x:c>
      <x:c r="I106" s="81"/>
    </x:row>
    <x:row r="107">
      <x:c r="A107" s="54">
        <x:v>98.0</x:v>
      </x:c>
      <x:c r="B107" s="54" t="s">
        <x:v>152</x:v>
      </x:c>
      <x:c r="C107" s="55" t="str">
        <x:f t="array" ref="C107">IFS(D107="","", D107="A","NE", D107="B","SW", D107="C","SE", D107="D","NW",D107="Omit", "")</x:f>
      </x:c>
      <x:c r="D107" s="70"/>
      <x:c r="E107" s="26" t="str">
        <x:f t="shared" si="1"/>
      </x:c>
      <x:c r="F107" s="81"/>
      <x:c r="G107" s="81"/>
      <x:c r="H107" s="26" t="str">
        <x:f t="array" ref="H107">IF($G107="","",TEXTJOIN("",TRUE,MID($B107,MID($G107,SEQUENCE(LEN($G107),1),1)+0,1)))</x:f>
      </x:c>
      <x:c r="I107" s="81"/>
    </x:row>
    <x:row r="108">
      <x:c r="A108" s="54">
        <x:v>99.0</x:v>
      </x:c>
      <x:c r="B108" s="54" t="s">
        <x:v>155</x:v>
      </x:c>
      <x:c r="C108" s="55" t="str">
        <x:f t="array" ref="C108">IFS(D108="","", D108="A","NW", D108="B","NE", D108="C","SW", D108="D","SE",D108="Omit", "")</x:f>
      </x:c>
      <x:c r="D108" s="70"/>
      <x:c r="E108" s="26" t="str">
        <x:f t="shared" si="1"/>
      </x:c>
      <x:c r="F108" s="81"/>
      <x:c r="G108" s="81"/>
      <x:c r="H108" s="26" t="str">
        <x:f t="array" ref="H108">IF($G108="","",TEXTJOIN("",TRUE,MID($B108,MID($G108,SEQUENCE(LEN($G108),1),1)+0,1)))</x:f>
      </x:c>
      <x:c r="I108" s="81"/>
    </x:row>
    <x:row r="109">
      <x:c r="A109" s="54">
        <x:v>100.0</x:v>
      </x:c>
      <x:c r="B109" s="54" t="s">
        <x:v>157</x:v>
      </x:c>
      <x:c r="C109" s="55" t="str">
        <x:f t="array" ref="C109">IFS(D109="","", D109="A","SE", D109="B","NW", D109="C","NE", D109="D","SW",D109="Omit", "")</x:f>
      </x:c>
      <x:c r="D109" s="70"/>
      <x:c r="E109" s="26" t="str">
        <x:f t="shared" si="1"/>
      </x:c>
      <x:c r="F109" s="81"/>
      <x:c r="G109" s="81"/>
      <x:c r="H109" s="26" t="str">
        <x:f t="array" ref="H109">IF($G109="","",TEXTJOIN("",TRUE,MID($B109,MID($G109,SEQUENCE(LEN($G109),1),1)+0,1)))</x:f>
      </x:c>
      <x:c r="I109" s="81"/>
    </x:row>
    <x:row r="110">
      <x:c r="A110" s="54">
        <x:v>101.0</x:v>
      </x:c>
      <x:c r="B110" s="54" t="s">
        <x:v>148</x:v>
      </x:c>
      <x:c r="C110" s="55" t="str">
        <x:f t="array" ref="C110">IFS(D110="","", D110="A","SW", D110="B","SE", D110="C","NW", D110="D","NE",D110="Omit", "")</x:f>
      </x:c>
      <x:c r="D110" s="70"/>
      <x:c r="E110" s="26" t="str">
        <x:f t="shared" si="1"/>
      </x:c>
      <x:c r="F110" s="81"/>
      <x:c r="G110" s="81"/>
      <x:c r="H110" s="26" t="str">
        <x:f t="array" ref="H110">IF($G110="","",TEXTJOIN("",TRUE,MID($B110,MID($G110,SEQUENCE(LEN($G110),1),1)+0,1)))</x:f>
      </x:c>
      <x:c r="I110" s="81"/>
    </x:row>
    <x:row r="111">
      <x:c r="A111" s="54">
        <x:v>102.0</x:v>
      </x:c>
      <x:c r="B111" s="54" t="s">
        <x:v>152</x:v>
      </x:c>
      <x:c r="C111" s="55" t="str">
        <x:f t="array" ref="C111">IFS(D111="","", D111="A","NE", D111="B","SW", D111="C","SE", D111="D","NW",D111="Omit", "")</x:f>
      </x:c>
      <x:c r="D111" s="70"/>
      <x:c r="E111" s="26" t="str">
        <x:f t="shared" si="1"/>
      </x:c>
      <x:c r="F111" s="81"/>
      <x:c r="G111" s="81"/>
      <x:c r="H111" s="26" t="str">
        <x:f t="array" ref="H111">IF($G111="","",TEXTJOIN("",TRUE,MID($B111,MID($G111,SEQUENCE(LEN($G111),1),1)+0,1)))</x:f>
      </x:c>
      <x:c r="I111" s="81"/>
    </x:row>
    <x:row r="112">
      <x:c r="A112" s="54">
        <x:v>103.0</x:v>
      </x:c>
      <x:c r="B112" s="54" t="s">
        <x:v>155</x:v>
      </x:c>
      <x:c r="C112" s="55" t="str">
        <x:f t="array" ref="C112">IFS(D112="","", D112="A","NW", D112="B","NE", D112="C","SW", D112="D","SE",D112="Omit", "")</x:f>
      </x:c>
      <x:c r="D112" s="70"/>
      <x:c r="E112" s="26" t="str">
        <x:f t="shared" si="1"/>
      </x:c>
      <x:c r="F112" s="81"/>
      <x:c r="G112" s="81"/>
      <x:c r="H112" s="26" t="str">
        <x:f t="array" ref="H112">IF($G112="","",TEXTJOIN("",TRUE,MID($B112,MID($G112,SEQUENCE(LEN($G112),1),1)+0,1)))</x:f>
      </x:c>
      <x:c r="I112" s="81"/>
    </x:row>
    <x:row r="113">
      <x:c r="A113" s="54">
        <x:v>104.0</x:v>
      </x:c>
      <x:c r="B113" s="54" t="s">
        <x:v>157</x:v>
      </x:c>
      <x:c r="C113" s="55" t="str">
        <x:f t="array" ref="C113">IFS(D113="","", D113="A","SE", D113="B","NW", D113="C","NE", D113="D","SW",D113="Omit", "")</x:f>
      </x:c>
      <x:c r="D113" s="70"/>
      <x:c r="E113" s="26" t="str">
        <x:f t="shared" si="1"/>
      </x:c>
      <x:c r="F113" s="81"/>
      <x:c r="G113" s="81"/>
      <x:c r="H113" s="26" t="str">
        <x:f t="array" ref="H113">IF($G113="","",TEXTJOIN("",TRUE,MID($B113,MID($G113,SEQUENCE(LEN($G113),1),1)+0,1)))</x:f>
      </x:c>
      <x:c r="I113" s="81"/>
    </x:row>
    <x:row r="114">
      <x:c r="A114" s="54">
        <x:v>105.0</x:v>
      </x:c>
      <x:c r="B114" s="54" t="s">
        <x:v>148</x:v>
      </x:c>
      <x:c r="C114" s="55" t="str">
        <x:f t="array" ref="C114">IFS(D114="","", D114="A","SW", D114="B","SE", D114="C","NW", D114="D","NE",D114="Omit", "")</x:f>
      </x:c>
      <x:c r="D114" s="70"/>
      <x:c r="E114" s="26" t="str">
        <x:f t="shared" si="1"/>
      </x:c>
      <x:c r="F114" s="81"/>
      <x:c r="G114" s="81"/>
      <x:c r="H114" s="26" t="str">
        <x:f t="array" ref="H114">IF($G114="","",TEXTJOIN("",TRUE,MID($B114,MID($G114,SEQUENCE(LEN($G114),1),1)+0,1)))</x:f>
      </x:c>
      <x:c r="I114" s="81"/>
    </x:row>
    <x:row r="115">
      <x:c r="A115" s="54">
        <x:v>106.0</x:v>
      </x:c>
      <x:c r="B115" s="54" t="s">
        <x:v>152</x:v>
      </x:c>
      <x:c r="C115" s="55" t="str">
        <x:f t="array" ref="C115">IFS(D115="","", D115="A","NE", D115="B","SW", D115="C","SE", D115="D","NW",D115="Omit", "")</x:f>
      </x:c>
      <x:c r="D115" s="70"/>
      <x:c r="E115" s="26" t="str">
        <x:f t="shared" si="1"/>
      </x:c>
      <x:c r="F115" s="81"/>
      <x:c r="G115" s="81"/>
      <x:c r="H115" s="26" t="str">
        <x:f t="array" ref="H115">IF($G115="","",TEXTJOIN("",TRUE,MID($B115,MID($G115,SEQUENCE(LEN($G115),1),1)+0,1)))</x:f>
      </x:c>
      <x:c r="I115" s="81"/>
    </x:row>
    <x:row r="116">
      <x:c r="A116" s="54">
        <x:v>107.0</x:v>
      </x:c>
      <x:c r="B116" s="54" t="s">
        <x:v>155</x:v>
      </x:c>
      <x:c r="C116" s="55" t="str">
        <x:f t="array" ref="C116">IFS(D116="","", D116="A","NW", D116="B","NE", D116="C","SW", D116="D","SE",D116="Omit", "")</x:f>
      </x:c>
      <x:c r="D116" s="70"/>
      <x:c r="E116" s="26" t="str">
        <x:f t="shared" si="1"/>
      </x:c>
      <x:c r="F116" s="81"/>
      <x:c r="G116" s="81"/>
      <x:c r="H116" s="26" t="str">
        <x:f t="array" ref="H116">IF($G116="","",TEXTJOIN("",TRUE,MID($B116,MID($G116,SEQUENCE(LEN($G116),1),1)+0,1)))</x:f>
      </x:c>
      <x:c r="I116" s="81"/>
    </x:row>
    <x:row r="117">
      <x:c r="A117" s="54">
        <x:v>108.0</x:v>
      </x:c>
      <x:c r="B117" s="54" t="s">
        <x:v>157</x:v>
      </x:c>
      <x:c r="C117" s="55" t="str">
        <x:f t="array" ref="C117">IFS(D117="","", D117="A","SE", D117="B","NW", D117="C","NE", D117="D","SW",D117="Omit", "")</x:f>
      </x:c>
      <x:c r="D117" s="70"/>
      <x:c r="E117" s="26" t="str">
        <x:f t="shared" si="1"/>
      </x:c>
      <x:c r="F117" s="81"/>
      <x:c r="G117" s="81"/>
      <x:c r="H117" s="26" t="str">
        <x:f t="array" ref="H117">IF($G117="","",TEXTJOIN("",TRUE,MID($B117,MID($G117,SEQUENCE(LEN($G117),1),1)+0,1)))</x:f>
      </x:c>
      <x:c r="I117" s="81"/>
    </x:row>
    <x:row r="118">
      <x:c r="A118" s="54">
        <x:v>109.0</x:v>
      </x:c>
      <x:c r="B118" s="54" t="s">
        <x:v>148</x:v>
      </x:c>
      <x:c r="C118" s="55" t="str">
        <x:f t="array" ref="C118">IFS(D118="","", D118="A","SW", D118="B","SE", D118="C","NW", D118="D","NE",D118="Omit", "")</x:f>
      </x:c>
      <x:c r="D118" s="70"/>
      <x:c r="E118" s="26" t="str">
        <x:f t="shared" si="1"/>
      </x:c>
      <x:c r="F118" s="81"/>
      <x:c r="G118" s="81"/>
      <x:c r="H118" s="26" t="str">
        <x:f t="array" ref="H118">IF($G118="","",TEXTJOIN("",TRUE,MID($B118,MID($G118,SEQUENCE(LEN($G118),1),1)+0,1)))</x:f>
      </x:c>
      <x:c r="I118" s="81"/>
    </x:row>
    <x:row r="119">
      <x:c r="A119" s="54">
        <x:v>110.0</x:v>
      </x:c>
      <x:c r="B119" s="54" t="s">
        <x:v>152</x:v>
      </x:c>
      <x:c r="C119" s="55" t="str">
        <x:f t="array" ref="C119">IFS(D119="","", D119="A","NE", D119="B","SW", D119="C","SE", D119="D","NW",D119="Omit", "")</x:f>
      </x:c>
      <x:c r="D119" s="70"/>
      <x:c r="E119" s="26" t="str">
        <x:f t="shared" si="1"/>
      </x:c>
      <x:c r="F119" s="81"/>
      <x:c r="G119" s="81"/>
      <x:c r="H119" s="26" t="str">
        <x:f t="array" ref="H119">IF($G119="","",TEXTJOIN("",TRUE,MID($B119,MID($G119,SEQUENCE(LEN($G119),1),1)+0,1)))</x:f>
      </x:c>
      <x:c r="I119" s="81"/>
    </x:row>
    <x:row r="120">
      <x:c r="A120" s="54">
        <x:v>111.0</x:v>
      </x:c>
      <x:c r="B120" s="54" t="s">
        <x:v>155</x:v>
      </x:c>
      <x:c r="C120" s="55" t="str">
        <x:f t="array" ref="C120">IFS(D120="","", D120="A","NW", D120="B","NE", D120="C","SW", D120="D","SE",D120="Omit", "")</x:f>
      </x:c>
      <x:c r="D120" s="70"/>
      <x:c r="E120" s="26" t="str">
        <x:f t="shared" si="1"/>
      </x:c>
      <x:c r="F120" s="81"/>
      <x:c r="G120" s="81"/>
      <x:c r="H120" s="26" t="str">
        <x:f t="array" ref="H120">IF($G120="","",TEXTJOIN("",TRUE,MID($B120,MID($G120,SEQUENCE(LEN($G120),1),1)+0,1)))</x:f>
      </x:c>
      <x:c r="I120" s="81"/>
    </x:row>
    <x:row r="121">
      <x:c r="A121" s="54">
        <x:v>112.0</x:v>
      </x:c>
      <x:c r="B121" s="54" t="s">
        <x:v>157</x:v>
      </x:c>
      <x:c r="C121" s="55" t="str">
        <x:f t="array" ref="C121">IFS(D121="","", D121="A","SE", D121="B","NW", D121="C","NE", D121="D","SW",D121="Omit", "")</x:f>
      </x:c>
      <x:c r="D121" s="70"/>
      <x:c r="E121" s="26" t="str">
        <x:f t="shared" si="1"/>
      </x:c>
      <x:c r="F121" s="81"/>
      <x:c r="G121" s="81"/>
      <x:c r="H121" s="26" t="str">
        <x:f t="array" ref="H121">IF($G121="","",TEXTJOIN("",TRUE,MID($B121,MID($G121,SEQUENCE(LEN($G121),1),1)+0,1)))</x:f>
      </x:c>
      <x:c r="I121" s="81"/>
    </x:row>
    <x:row r="122">
      <x:c r="A122" s="54">
        <x:v>113.0</x:v>
      </x:c>
      <x:c r="B122" s="54" t="s">
        <x:v>148</x:v>
      </x:c>
      <x:c r="C122" s="55" t="str">
        <x:f t="array" ref="C122">IFS(D122="","", D122="A","SW", D122="B","SE", D122="C","NW", D122="D","NE",D122="Omit", "")</x:f>
      </x:c>
      <x:c r="D122" s="70"/>
      <x:c r="E122" s="26" t="str">
        <x:f t="shared" si="1"/>
      </x:c>
      <x:c r="F122" s="81"/>
      <x:c r="G122" s="81"/>
      <x:c r="H122" s="26" t="str">
        <x:f t="array" ref="H122">IF($G122="","",TEXTJOIN("",TRUE,MID($B122,MID($G122,SEQUENCE(LEN($G122),1),1)+0,1)))</x:f>
      </x:c>
      <x:c r="I122" s="81"/>
    </x:row>
    <x:row r="123">
      <x:c r="A123" s="54">
        <x:v>114.0</x:v>
      </x:c>
      <x:c r="B123" s="54" t="s">
        <x:v>152</x:v>
      </x:c>
      <x:c r="C123" s="55" t="str">
        <x:f t="array" ref="C123">IFS(D123="","", D123="A","NE", D123="B","SW", D123="C","SE", D123="D","NW",D123="Omit", "")</x:f>
      </x:c>
      <x:c r="D123" s="70"/>
      <x:c r="E123" s="26" t="str">
        <x:f t="shared" si="1"/>
      </x:c>
      <x:c r="F123" s="81"/>
      <x:c r="G123" s="81"/>
      <x:c r="H123" s="26" t="str">
        <x:f t="array" ref="H123">IF($G123="","",TEXTJOIN("",TRUE,MID($B123,MID($G123,SEQUENCE(LEN($G123),1),1)+0,1)))</x:f>
      </x:c>
      <x:c r="I123" s="81"/>
    </x:row>
    <x:row r="124">
      <x:c r="A124" s="54">
        <x:v>115.0</x:v>
      </x:c>
      <x:c r="B124" s="54" t="s">
        <x:v>155</x:v>
      </x:c>
      <x:c r="C124" s="55" t="str">
        <x:f t="array" ref="C124">IFS(D124="","", D124="A","NW", D124="B","NE", D124="C","SW", D124="D","SE",D124="Omit", "")</x:f>
      </x:c>
      <x:c r="D124" s="70"/>
      <x:c r="E124" s="26" t="str">
        <x:f t="shared" si="1"/>
      </x:c>
      <x:c r="F124" s="81"/>
      <x:c r="G124" s="81"/>
      <x:c r="H124" s="26" t="str">
        <x:f t="array" ref="H124">IF($G124="","",TEXTJOIN("",TRUE,MID($B124,MID($G124,SEQUENCE(LEN($G124),1),1)+0,1)))</x:f>
      </x:c>
      <x:c r="I124" s="81"/>
    </x:row>
    <x:row r="125">
      <x:c r="A125" s="54">
        <x:v>116.0</x:v>
      </x:c>
      <x:c r="B125" s="54" t="s">
        <x:v>157</x:v>
      </x:c>
      <x:c r="C125" s="55" t="str">
        <x:f t="array" ref="C125">IFS(D125="","", D125="A","SE", D125="B","NW", D125="C","NE", D125="D","SW",D125="Omit", "")</x:f>
      </x:c>
      <x:c r="D125" s="70"/>
      <x:c r="E125" s="26" t="str">
        <x:f t="shared" si="1"/>
      </x:c>
      <x:c r="F125" s="81"/>
      <x:c r="G125" s="81"/>
      <x:c r="H125" s="26" t="str">
        <x:f t="array" ref="H125">IF($G125="","",TEXTJOIN("",TRUE,MID($B125,MID($G125,SEQUENCE(LEN($G125),1),1)+0,1)))</x:f>
      </x:c>
      <x:c r="I125" s="81"/>
    </x:row>
    <x:row r="126">
      <x:c r="A126" s="54">
        <x:v>117.0</x:v>
      </x:c>
      <x:c r="B126" s="54" t="s">
        <x:v>148</x:v>
      </x:c>
      <x:c r="C126" s="55" t="str">
        <x:f t="array" ref="C126">IFS(D126="","", D126="A","SW", D126="B","SE", D126="C","NW", D126="D","NE",D126="Omit", "")</x:f>
      </x:c>
      <x:c r="D126" s="70"/>
      <x:c r="E126" s="26" t="str">
        <x:f t="shared" si="1"/>
      </x:c>
      <x:c r="F126" s="81"/>
      <x:c r="G126" s="81"/>
      <x:c r="H126" s="26" t="str">
        <x:f t="array" ref="H126">IF($G126="","",TEXTJOIN("",TRUE,MID($B126,MID($G126,SEQUENCE(LEN($G126),1),1)+0,1)))</x:f>
      </x:c>
      <x:c r="I126" s="81"/>
    </x:row>
    <x:row r="127">
      <x:c r="A127" s="54">
        <x:v>118.0</x:v>
      </x:c>
      <x:c r="B127" s="54" t="s">
        <x:v>152</x:v>
      </x:c>
      <x:c r="C127" s="55" t="str">
        <x:f t="array" ref="C127">IFS(D127="","", D127="A","NE", D127="B","SW", D127="C","SE", D127="D","NW",D127="Omit", "")</x:f>
      </x:c>
      <x:c r="D127" s="70"/>
      <x:c r="E127" s="26" t="str">
        <x:f t="shared" si="1"/>
      </x:c>
      <x:c r="F127" s="81"/>
      <x:c r="G127" s="81"/>
      <x:c r="H127" s="26" t="str">
        <x:f t="array" ref="H127">IF($G127="","",TEXTJOIN("",TRUE,MID($B127,MID($G127,SEQUENCE(LEN($G127),1),1)+0,1)))</x:f>
      </x:c>
      <x:c r="I127" s="81"/>
    </x:row>
    <x:row r="128">
      <x:c r="A128" s="54">
        <x:v>119.0</x:v>
      </x:c>
      <x:c r="B128" s="54" t="s">
        <x:v>155</x:v>
      </x:c>
      <x:c r="C128" s="55" t="str">
        <x:f t="array" ref="C128">IFS(D128="","", D128="A","NW", D128="B","NE", D128="C","SW", D128="D","SE",D128="Omit", "")</x:f>
      </x:c>
      <x:c r="D128" s="70"/>
      <x:c r="E128" s="26" t="str">
        <x:f t="shared" si="1"/>
      </x:c>
      <x:c r="F128" s="81"/>
      <x:c r="G128" s="81"/>
      <x:c r="H128" s="26" t="str">
        <x:f t="array" ref="H128">IF($G128="","",TEXTJOIN("",TRUE,MID($B128,MID($G128,SEQUENCE(LEN($G128),1),1)+0,1)))</x:f>
      </x:c>
      <x:c r="I128" s="81"/>
    </x:row>
    <x:row r="129">
      <x:c r="A129" s="54">
        <x:v>120.0</x:v>
      </x:c>
      <x:c r="B129" s="54" t="s">
        <x:v>157</x:v>
      </x:c>
      <x:c r="C129" s="55" t="str">
        <x:f t="array" ref="C129">IFS(D129="","", D129="A","SE", D129="B","NW", D129="C","NE", D129="D","SW",D129="Omit", "")</x:f>
      </x:c>
      <x:c r="D129" s="70"/>
      <x:c r="E129" s="26" t="str">
        <x:f t="shared" si="1"/>
      </x:c>
      <x:c r="F129" s="81"/>
      <x:c r="G129" s="81"/>
      <x:c r="H129" s="26" t="str">
        <x:f t="array" ref="H129">IF($G129="","",TEXTJOIN("",TRUE,MID($B129,MID($G129,SEQUENCE(LEN($G129),1),1)+0,1)))</x:f>
      </x:c>
      <x:c r="I129" s="81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3" t="s">
        <x:v>180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81</x:v>
      </x:c>
      <x:c r="B3" s="8" t="s">
        <x:v>82</x:v>
      </x:c>
      <x:c r="C3" s="5" t="s">
        <x:v>83</x:v>
      </x:c>
      <x:c r="D3" s="48">
        <x:v>0.8375</x:v>
      </x:c>
      <x:c r="E3" s="5" t="s">
        <x:v>84</x:v>
      </x:c>
      <x:c r="F3" s="23" t="str">
        <x:f>IF(D3="","","ZT " &amp; TEXT(MOD(D3-METADATA!$B$19,1),"hh:mm"))</x:f>
        <x:v>ZT 22:06</x:v>
      </x:c>
      <x:c r="G3" s="4"/>
      <x:c r="H3" s="4"/>
      <x:c r="I3" s="4"/>
      <x:c r="J3" s="4"/>
    </x:row>
    <x:row r="4">
      <x:c r="A4" s="5" t="s">
        <x:v>85</x:v>
      </x:c>
      <x:c r="B4" s="18">
        <x:v>46269.0</x:v>
      </x:c>
      <x:c r="C4" s="5" t="s">
        <x:v>86</x:v>
      </x:c>
      <x:c r="D4" s="48">
        <x:v>0.8652777777777778</x:v>
      </x:c>
      <x:c r="E4" s="5" t="s">
        <x:v>87</x:v>
      </x:c>
      <x:c r="F4" s="23" t="str">
        <x:f>IF(D4="","","ZT " &amp; TEXT(MOD(D4-METADATA!$B$19,1),"hh:mm"))</x:f>
        <x:v>ZT 22:46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59" t="s">
        <x:v>132</x:v>
      </x:c>
      <x:c r="B6" s="60" t="s">
        <x:v>181</x:v>
      </x:c>
      <x:c r="C6" s="4"/>
      <x:c r="D6" s="59" t="s">
        <x:v>134</x:v>
      </x:c>
      <x:c r="E6" s="64" t="s">
        <x:v>182</x:v>
      </x:c>
      <x:c r="F6" s="4"/>
      <x:c r="G6" s="4"/>
      <x:c r="H6" s="4"/>
      <x:c r="I6" s="4"/>
      <x:c r="J6" s="4"/>
    </x:row>
    <x:row r="7">
      <x:c r="A7" s="59" t="s">
        <x:v>136</x:v>
      </x:c>
      <x:c r="B7" s="61" t="s">
        <x:v>137</x:v>
      </x:c>
      <x:c r="C7" s="61" t="s">
        <x:v>138</x:v>
      </x:c>
      <x:c r="D7" s="61" t="s">
        <x:v>139</x:v>
      </x:c>
      <x:c r="E7" s="65" t="s">
        <x:v>183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51" t="s">
        <x:v>112</x:v>
      </x:c>
      <x:c r="B9" s="52" t="s">
        <x:v>141</x:v>
      </x:c>
      <x:c r="C9" s="53" t="s">
        <x:v>142</x:v>
      </x:c>
      <x:c r="D9" s="29" t="s">
        <x:v>143</x:v>
      </x:c>
      <x:c r="E9" s="29" t="s">
        <x:v>144</x:v>
      </x:c>
      <x:c r="F9" s="29" t="s">
        <x:v>145</x:v>
      </x:c>
      <x:c r="G9" s="38" t="s">
        <x:v>146</x:v>
      </x:c>
      <x:c r="H9" s="38" t="s">
        <x:v>147</x:v>
      </x:c>
      <x:c r="I9" s="29" t="s">
        <x:v>184</x:v>
      </x:c>
      <x:c r="J9" s="51" t="s">
        <x:v>95</x:v>
      </x:c>
    </x:row>
    <x:row r="10">
      <x:c r="A10" s="54">
        <x:v>1.0</x:v>
      </x:c>
      <x:c r="B10" s="54" t="s">
        <x:v>148</x:v>
      </x:c>
      <x:c r="C10" s="55" t="str">
        <x:f t="array" ref="C10">IFS(D10="","", D10="A","NW", D10="B","NE", D10="C","SW", D10="D","SE",D10="Omit", "")</x:f>
        <x:v>NW</x:v>
      </x:c>
      <x:c r="D10" s="8" t="s">
        <x:v>153</x:v>
      </x:c>
      <x:c r="E10" s="56" t="str">
        <x:f t="shared" ref="E10:E129" si="1">IF(D10="","",IF(D10="B","Correct","Incorrect"))</x:f>
        <x:v>Incorrect</x:v>
      </x:c>
      <x:c r="F10" s="40">
        <x:v>76.0</x:v>
      </x:c>
      <x:c r="G10" s="58" t="s">
        <x:v>185</x:v>
      </x:c>
      <x:c r="H10" s="62" t="str">
        <x:f t="array" ref="H10">IF($G10="","",TEXTJOIN("",TRUE,MID($B10,MID($G10,SEQUENCE(LEN($G10),1),1)+0,1)))</x:f>
        <x:v>Error: #VALUE!</x:v>
      </x:c>
      <x:c r="I10" s="56" t="str">
        <x:f t="shared" ref="I10:I39" si="2">IF(OR(D10="",D10="Omit"),"",IF(D10="B","",IF(D10="A",IF(COUNTIF(D9:D$10,"B")=0,"Perseverative","Regressive"),IF(D10="C","Irrelevant",IF(D10="D","Novel","")))))</x:f>
        <x:v>Perseverative</x:v>
      </x:c>
      <x:c r="J10" s="67"/>
    </x:row>
    <x:row r="11">
      <x:c r="A11" s="54">
        <x:v>2.0</x:v>
      </x:c>
      <x:c r="B11" s="54" t="s">
        <x:v>152</x:v>
      </x:c>
      <x:c r="C11" s="55" t="str">
        <x:f t="array" ref="C11">IFS(D11="","", D11="A","SE", D11="B","NW", D11="C","NE", D11="D","SW",D11="Omit", "")</x:f>
        <x:v>SE</x:v>
      </x:c>
      <x:c r="D11" s="8" t="s">
        <x:v>153</x:v>
      </x:c>
      <x:c r="E11" s="56" t="str">
        <x:f t="shared" si="1"/>
        <x:v>Incorrect</x:v>
      </x:c>
      <x:c r="F11" s="40">
        <x:v>10.0</x:v>
      </x:c>
      <x:c r="G11" s="58" t="s">
        <x:v>179</x:v>
      </x:c>
      <x:c r="H11" s="62" t="str">
        <x:f t="array" ref="H11">IF($G11="","",TEXTJOIN("",TRUE,MID($B11,MID($G11,SEQUENCE(LEN($G11),1),1)+0,1)))</x:f>
        <x:v>Error: #VALUE!</x:v>
      </x:c>
      <x:c r="I11" s="56" t="str">
        <x:f t="shared" si="2"/>
        <x:v>Perseverative</x:v>
      </x:c>
      <x:c r="J11" s="67"/>
    </x:row>
    <x:row r="12">
      <x:c r="A12" s="54">
        <x:v>3.0</x:v>
      </x:c>
      <x:c r="B12" s="54" t="s">
        <x:v>155</x:v>
      </x:c>
      <x:c r="C12" s="55" t="str">
        <x:f t="array" ref="C12">IFS(D12="","", D12="A","SW", D12="B","SE", D12="C","NW", D12="D","NE",D12="Omit", "")</x:f>
        <x:v>SW</x:v>
      </x:c>
      <x:c r="D12" s="8" t="s">
        <x:v>153</x:v>
      </x:c>
      <x:c r="E12" s="56" t="str">
        <x:f t="shared" si="1"/>
        <x:v>Incorrect</x:v>
      </x:c>
      <x:c r="F12" s="40">
        <x:v>61.0</x:v>
      </x:c>
      <x:c r="G12" s="58" t="s">
        <x:v>186</x:v>
      </x:c>
      <x:c r="H12" s="62" t="str">
        <x:f t="array" ref="H12">IF($G12="","",TEXTJOIN("",TRUE,MID($B12,MID($G12,SEQUENCE(LEN($G12),1),1)+0,1)))</x:f>
        <x:v>Error: #VALUE!</x:v>
      </x:c>
      <x:c r="I12" s="56" t="str">
        <x:f t="shared" si="2"/>
        <x:v>Perseverative</x:v>
      </x:c>
      <x:c r="J12" s="67"/>
    </x:row>
    <x:row r="13">
      <x:c r="A13" s="54">
        <x:v>4.0</x:v>
      </x:c>
      <x:c r="B13" s="54" t="s">
        <x:v>157</x:v>
      </x:c>
      <x:c r="C13" s="55" t="str">
        <x:f t="array" ref="C13">IFS(D13="","", D13="A","NE", D13="B","SW", D13="C","SE", D13="D","NW",D13="Omit", "")</x:f>
        <x:v>NE</x:v>
      </x:c>
      <x:c r="D13" s="8" t="s">
        <x:v>153</x:v>
      </x:c>
      <x:c r="E13" s="56" t="str">
        <x:f t="shared" si="1"/>
        <x:v>Incorrect</x:v>
      </x:c>
      <x:c r="F13" s="40">
        <x:v>43.0</x:v>
      </x:c>
      <x:c r="G13" s="58" t="s">
        <x:v>187</x:v>
      </x:c>
      <x:c r="H13" s="62" t="str">
        <x:f t="array" ref="H13">IF($G13="","",TEXTJOIN("",TRUE,MID($B13,MID($G13,SEQUENCE(LEN($G13),1),1)+0,1)))</x:f>
        <x:v>Error: #VALUE!</x:v>
      </x:c>
      <x:c r="I13" s="56" t="str">
        <x:f t="shared" si="2"/>
        <x:v>Perseverative</x:v>
      </x:c>
      <x:c r="J13" s="67"/>
    </x:row>
    <x:row r="14">
      <x:c r="A14" s="54">
        <x:v>5.0</x:v>
      </x:c>
      <x:c r="B14" s="54" t="s">
        <x:v>148</x:v>
      </x:c>
      <x:c r="C14" s="55" t="str">
        <x:f t="array" ref="C14">IFS(D14="","", D14="A","NW", D14="B","NE", D14="C","SW", D14="D","SE",D14="Omit", "")</x:f>
        <x:v>NW</x:v>
      </x:c>
      <x:c r="D14" s="8" t="s">
        <x:v>153</x:v>
      </x:c>
      <x:c r="E14" s="56" t="str">
        <x:f t="shared" si="1"/>
        <x:v>Incorrect</x:v>
      </x:c>
      <x:c r="F14" s="40">
        <x:v>25.0</x:v>
      </x:c>
      <x:c r="G14" s="58" t="s">
        <x:v>188</x:v>
      </x:c>
      <x:c r="H14" s="62" t="str">
        <x:f t="array" ref="H14">IF($G14="","",TEXTJOIN("",TRUE,MID($B14,MID($G14,SEQUENCE(LEN($G14),1),1)+0,1)))</x:f>
        <x:v>Error: #VALUE!</x:v>
      </x:c>
      <x:c r="I14" s="56" t="str">
        <x:f t="shared" si="2"/>
        <x:v>Perseverative</x:v>
      </x:c>
      <x:c r="J14" s="67"/>
    </x:row>
    <x:row r="15">
      <x:c r="A15" s="54">
        <x:v>6.0</x:v>
      </x:c>
      <x:c r="B15" s="54" t="s">
        <x:v>152</x:v>
      </x:c>
      <x:c r="C15" s="55" t="str">
        <x:f t="array" ref="C15">IFS(D15="","", D15="A","SE", D15="B","NW", D15="C","NE", D15="D","SW",D15="Omit", "")</x:f>
        <x:v>NW</x:v>
      </x:c>
      <x:c r="D15" s="8" t="s">
        <x:v>159</x:v>
      </x:c>
      <x:c r="E15" s="63" t="str">
        <x:f t="shared" si="1"/>
        <x:v>Correct</x:v>
      </x:c>
      <x:c r="F15" s="40">
        <x:v>15.0</x:v>
      </x:c>
      <x:c r="G15" s="58" t="s">
        <x:v>189</x:v>
      </x:c>
      <x:c r="H15" s="62" t="str">
        <x:f t="array" ref="H15">IF($G15="","",TEXTJOIN("",TRUE,MID($B15,MID($G15,SEQUENCE(LEN($G15),1),1)+0,1)))</x:f>
        <x:v>Error: #VALUE!</x:v>
      </x:c>
      <x:c r="I15" s="68" t="str">
        <x:f t="shared" si="2"/>
      </x:c>
      <x:c r="J15" s="67"/>
    </x:row>
    <x:row r="16">
      <x:c r="A16" s="54">
        <x:v>7.0</x:v>
      </x:c>
      <x:c r="B16" s="54" t="s">
        <x:v>155</x:v>
      </x:c>
      <x:c r="C16" s="55" t="str">
        <x:f t="array" ref="C16">IFS(D16="","", D16="A","SW", D16="B","SE", D16="C","NW", D16="D","NE",D16="Omit", "")</x:f>
        <x:v>SW</x:v>
      </x:c>
      <x:c r="D16" s="8" t="s">
        <x:v>153</x:v>
      </x:c>
      <x:c r="E16" s="56" t="str">
        <x:f t="shared" si="1"/>
        <x:v>Incorrect</x:v>
      </x:c>
      <x:c r="F16" s="40">
        <x:v>6.0</x:v>
      </x:c>
      <x:c r="G16" s="58" t="s">
        <x:v>190</x:v>
      </x:c>
      <x:c r="H16" s="62" t="str">
        <x:f t="array" ref="H16">IF($G16="","",TEXTJOIN("",TRUE,MID($B16,MID($G16,SEQUENCE(LEN($G16),1),1)+0,1)))</x:f>
        <x:v>Error: #VALUE!</x:v>
      </x:c>
      <x:c r="I16" s="69" t="str">
        <x:f t="shared" si="2"/>
        <x:v>Regressive</x:v>
      </x:c>
      <x:c r="J16" s="67"/>
    </x:row>
    <x:row r="17">
      <x:c r="A17" s="54">
        <x:v>8.0</x:v>
      </x:c>
      <x:c r="B17" s="54" t="s">
        <x:v>157</x:v>
      </x:c>
      <x:c r="C17" s="55" t="str">
        <x:f t="array" ref="C17">IFS(D17="","", D17="A","NE", D17="B","SW", D17="C","SE", D17="D","NW",D17="Omit", "")</x:f>
        <x:v>NE</x:v>
      </x:c>
      <x:c r="D17" s="8" t="s">
        <x:v>153</x:v>
      </x:c>
      <x:c r="E17" s="56" t="str">
        <x:f t="shared" si="1"/>
        <x:v>Incorrect</x:v>
      </x:c>
      <x:c r="F17" s="40">
        <x:v>16.0</x:v>
      </x:c>
      <x:c r="G17" s="58" t="s">
        <x:v>191</x:v>
      </x:c>
      <x:c r="H17" s="62" t="str">
        <x:f t="array" ref="H17">IF($G17="","",TEXTJOIN("",TRUE,MID($B17,MID($G17,SEQUENCE(LEN($G17),1),1)+0,1)))</x:f>
        <x:v>Error: #VALUE!</x:v>
      </x:c>
      <x:c r="I17" s="69" t="str">
        <x:f t="shared" si="2"/>
        <x:v>Regressive</x:v>
      </x:c>
      <x:c r="J17" s="67"/>
    </x:row>
    <x:row r="18">
      <x:c r="A18" s="54">
        <x:v>9.0</x:v>
      </x:c>
      <x:c r="B18" s="54" t="s">
        <x:v>148</x:v>
      </x:c>
      <x:c r="C18" s="55" t="str">
        <x:f t="array" ref="C18">IFS(D18="","", D18="A","NW", D18="B","NE", D18="C","SW", D18="D","SE",D18="Omit", "")</x:f>
        <x:v>NE</x:v>
      </x:c>
      <x:c r="D18" s="8" t="s">
        <x:v>159</x:v>
      </x:c>
      <x:c r="E18" s="63" t="str">
        <x:f t="shared" si="1"/>
        <x:v>Correct</x:v>
      </x:c>
      <x:c r="F18" s="40">
        <x:v>6.0</x:v>
      </x:c>
      <x:c r="G18" s="58" t="s">
        <x:v>192</x:v>
      </x:c>
      <x:c r="H18" s="62" t="str">
        <x:f t="array" ref="H18">IF($G18="","",TEXTJOIN("",TRUE,MID($B18,MID($G18,SEQUENCE(LEN($G18),1),1)+0,1)))</x:f>
        <x:v>Error: #VALUE!</x:v>
      </x:c>
      <x:c r="I18" s="68" t="str">
        <x:f t="shared" si="2"/>
      </x:c>
      <x:c r="J18" s="67"/>
    </x:row>
    <x:row r="19">
      <x:c r="A19" s="54">
        <x:v>10.0</x:v>
      </x:c>
      <x:c r="B19" s="54" t="s">
        <x:v>152</x:v>
      </x:c>
      <x:c r="C19" s="55" t="str">
        <x:f t="array" ref="C19">IFS(D19="","", D19="A","SE", D19="B","NW", D19="C","NE", D19="D","SW",D19="Omit", "")</x:f>
        <x:v>NW</x:v>
      </x:c>
      <x:c r="D19" s="8" t="s">
        <x:v>159</x:v>
      </x:c>
      <x:c r="E19" s="63" t="str">
        <x:f t="shared" si="1"/>
        <x:v>Correct</x:v>
      </x:c>
      <x:c r="F19" s="40">
        <x:v>6.0</x:v>
      </x:c>
      <x:c r="G19" s="58" t="s">
        <x:v>193</x:v>
      </x:c>
      <x:c r="H19" s="62" t="str">
        <x:f t="array" ref="H19">IF($G19="","",TEXTJOIN("",TRUE,MID($B19,MID($G19,SEQUENCE(LEN($G19),1),1)+0,1)))</x:f>
        <x:v>Error: #VALUE!</x:v>
      </x:c>
      <x:c r="I19" s="68" t="str">
        <x:f t="shared" si="2"/>
      </x:c>
      <x:c r="J19" s="67"/>
    </x:row>
    <x:row r="20">
      <x:c r="A20" s="54">
        <x:v>11.0</x:v>
      </x:c>
      <x:c r="B20" s="54" t="s">
        <x:v>155</x:v>
      </x:c>
      <x:c r="C20" s="55" t="str">
        <x:f t="array" ref="C20">IFS(D20="","", D20="A","SW", D20="B","SE", D20="C","NW", D20="D","NE",D20="Omit", "")</x:f>
        <x:v>SE</x:v>
      </x:c>
      <x:c r="D20" s="8" t="s">
        <x:v>159</x:v>
      </x:c>
      <x:c r="E20" s="63" t="str">
        <x:f t="shared" si="1"/>
        <x:v>Correct</x:v>
      </x:c>
      <x:c r="F20" s="72">
        <x:v>6.0</x:v>
      </x:c>
      <x:c r="G20" s="58" t="s">
        <x:v>101</x:v>
      </x:c>
      <x:c r="H20" s="62" t="str">
        <x:f t="array" ref="H20">IF($G20="","",TEXTJOIN("",TRUE,MID($B20,MID($G20,SEQUENCE(LEN($G20),1),1)+0,1)))</x:f>
        <x:v>B</x:v>
      </x:c>
      <x:c r="I20" s="68" t="str">
        <x:f t="shared" si="2"/>
      </x:c>
      <x:c r="J20" s="67"/>
    </x:row>
    <x:row r="21">
      <x:c r="A21" s="54">
        <x:v>12.0</x:v>
      </x:c>
      <x:c r="B21" s="54" t="s">
        <x:v>157</x:v>
      </x:c>
      <x:c r="C21" s="55" t="str">
        <x:f t="array" ref="C21">IFS(D21="","", D21="A","NE", D21="B","SW", D21="C","SE", D21="D","NW",D21="Omit", "")</x:f>
        <x:v>NW</x:v>
      </x:c>
      <x:c r="D21" s="8" t="s">
        <x:v>166</x:v>
      </x:c>
      <x:c r="E21" s="56" t="str">
        <x:f t="shared" si="1"/>
        <x:v>Incorrect</x:v>
      </x:c>
      <x:c r="F21" s="72">
        <x:v>5.0</x:v>
      </x:c>
      <x:c r="G21" s="58" t="s">
        <x:v>105</x:v>
      </x:c>
      <x:c r="H21" s="62" t="str">
        <x:f t="array" ref="H21">IF($G21="","",TEXTJOIN("",TRUE,MID($B21,MID($G21,SEQUENCE(LEN($G21),1),1)+0,1)))</x:f>
        <x:v>D</x:v>
      </x:c>
      <x:c r="I21" s="73" t="str">
        <x:f t="shared" si="2"/>
        <x:v>Novel</x:v>
      </x:c>
      <x:c r="J21" s="67"/>
    </x:row>
    <x:row r="22">
      <x:c r="A22" s="54">
        <x:v>13.0</x:v>
      </x:c>
      <x:c r="B22" s="54" t="s">
        <x:v>148</x:v>
      </x:c>
      <x:c r="C22" s="55" t="str">
        <x:f t="array" ref="C22">IFS(D22="","", D22="A","NW", D22="B","NE", D22="C","SW", D22="D","SE",D22="Omit", "")</x:f>
        <x:v>SE</x:v>
      </x:c>
      <x:c r="D22" s="8" t="s">
        <x:v>166</x:v>
      </x:c>
      <x:c r="E22" s="56" t="str">
        <x:f t="shared" si="1"/>
        <x:v>Incorrect</x:v>
      </x:c>
      <x:c r="F22" s="72">
        <x:v>3.0</x:v>
      </x:c>
      <x:c r="G22" s="58" t="s">
        <x:v>101</x:v>
      </x:c>
      <x:c r="H22" s="62" t="str">
        <x:f t="array" ref="H22">IF($G22="","",TEXTJOIN("",TRUE,MID($B22,MID($G22,SEQUENCE(LEN($G22),1),1)+0,1)))</x:f>
        <x:v>D</x:v>
      </x:c>
      <x:c r="I22" s="73" t="str">
        <x:f t="shared" si="2"/>
        <x:v>Novel</x:v>
      </x:c>
      <x:c r="J22" s="67"/>
    </x:row>
    <x:row r="23">
      <x:c r="A23" s="54">
        <x:v>14.0</x:v>
      </x:c>
      <x:c r="B23" s="54" t="s">
        <x:v>152</x:v>
      </x:c>
      <x:c r="C23" s="55" t="str">
        <x:f t="array" ref="C23">IFS(D23="","", D23="A","SE", D23="B","NW", D23="C","NE", D23="D","SW",D23="Omit", "")</x:f>
        <x:v>SE</x:v>
      </x:c>
      <x:c r="D23" s="8" t="s">
        <x:v>153</x:v>
      </x:c>
      <x:c r="E23" s="56" t="str">
        <x:f t="shared" si="1"/>
        <x:v>Incorrect</x:v>
      </x:c>
      <x:c r="F23" s="72">
        <x:v>3.0</x:v>
      </x:c>
      <x:c r="G23" s="58" t="s">
        <x:v>101</x:v>
      </x:c>
      <x:c r="H23" s="62" t="str">
        <x:f t="array" ref="H23">IF($G23="","",TEXTJOIN("",TRUE,MID($B23,MID($G23,SEQUENCE(LEN($G23),1),1)+0,1)))</x:f>
        <x:v>A</x:v>
      </x:c>
      <x:c r="I23" s="69" t="str">
        <x:f t="shared" si="2"/>
        <x:v>Regressive</x:v>
      </x:c>
      <x:c r="J23" s="67"/>
    </x:row>
    <x:row r="24">
      <x:c r="A24" s="54">
        <x:v>15.0</x:v>
      </x:c>
      <x:c r="B24" s="54" t="s">
        <x:v>155</x:v>
      </x:c>
      <x:c r="C24" s="55" t="str">
        <x:f t="array" ref="C24">IFS(D24="","", D24="A","SW", D24="B","SE", D24="C","NW", D24="D","NE",D24="Omit", "")</x:f>
        <x:v>SE</x:v>
      </x:c>
      <x:c r="D24" s="8" t="s">
        <x:v>159</x:v>
      </x:c>
      <x:c r="E24" s="63" t="str">
        <x:f t="shared" si="1"/>
        <x:v>Correct</x:v>
      </x:c>
      <x:c r="F24" s="72">
        <x:v>4.0</x:v>
      </x:c>
      <x:c r="G24" s="58" t="s">
        <x:v>179</x:v>
      </x:c>
      <x:c r="H24" s="62" t="str">
        <x:f t="array" ref="H24">IF($G24="","",TEXTJOIN("",TRUE,MID($B24,MID($G24,SEQUENCE(LEN($G24),1),1)+0,1)))</x:f>
        <x:v>Error: #VALUE!</x:v>
      </x:c>
      <x:c r="I24" s="68" t="str">
        <x:f t="shared" si="2"/>
      </x:c>
      <x:c r="J24" s="67"/>
    </x:row>
    <x:row r="25">
      <x:c r="A25" s="54">
        <x:v>16.0</x:v>
      </x:c>
      <x:c r="B25" s="54" t="s">
        <x:v>157</x:v>
      </x:c>
      <x:c r="C25" s="55" t="str">
        <x:f t="array" ref="C25">IFS(D25="","", D25="A","NE", D25="B","SW", D25="C","SE", D25="D","NW",D25="Omit", "")</x:f>
        <x:v>NW</x:v>
      </x:c>
      <x:c r="D25" s="8" t="s">
        <x:v>166</x:v>
      </x:c>
      <x:c r="E25" s="56" t="str">
        <x:f t="shared" si="1"/>
        <x:v>Incorrect</x:v>
      </x:c>
      <x:c r="F25" s="72">
        <x:v>7.0</x:v>
      </x:c>
      <x:c r="G25" s="58" t="s">
        <x:v>193</x:v>
      </x:c>
      <x:c r="H25" s="62" t="str">
        <x:f t="array" ref="H25">IF($G25="","",TEXTJOIN("",TRUE,MID($B25,MID($G25,SEQUENCE(LEN($G25),1),1)+0,1)))</x:f>
        <x:v>Error: #VALUE!</x:v>
      </x:c>
      <x:c r="I25" s="73" t="str">
        <x:f t="shared" si="2"/>
        <x:v>Novel</x:v>
      </x:c>
      <x:c r="J25" s="67"/>
    </x:row>
    <x:row r="26">
      <x:c r="A26" s="54">
        <x:v>17.0</x:v>
      </x:c>
      <x:c r="B26" s="54" t="s">
        <x:v>148</x:v>
      </x:c>
      <x:c r="C26" s="55" t="str">
        <x:f t="array" ref="C26">IFS(D26="","", D26="A","NW", D26="B","NE", D26="C","SW", D26="D","SE",D26="Omit", "")</x:f>
        <x:v>SE</x:v>
      </x:c>
      <x:c r="D26" s="8" t="s">
        <x:v>166</x:v>
      </x:c>
      <x:c r="E26" s="56" t="str">
        <x:f t="shared" si="1"/>
        <x:v>Incorrect</x:v>
      </x:c>
      <x:c r="F26" s="72">
        <x:v>7.0</x:v>
      </x:c>
      <x:c r="G26" s="58" t="s">
        <x:v>194</x:v>
      </x:c>
      <x:c r="H26" s="62" t="str">
        <x:f t="array" ref="H26">IF($G26="","",TEXTJOIN("",TRUE,MID($B26,MID($G26,SEQUENCE(LEN($G26),1),1)+0,1)))</x:f>
        <x:v>Error: #VALUE!</x:v>
      </x:c>
      <x:c r="I26" s="73" t="str">
        <x:f t="shared" si="2"/>
        <x:v>Novel</x:v>
      </x:c>
      <x:c r="J26" s="67"/>
    </x:row>
    <x:row r="27">
      <x:c r="A27" s="54">
        <x:v>18.0</x:v>
      </x:c>
      <x:c r="B27" s="54" t="s">
        <x:v>152</x:v>
      </x:c>
      <x:c r="C27" s="55" t="str">
        <x:f t="array" ref="C27">IFS(D27="","", D27="A","SE", D27="B","NW", D27="C","NE", D27="D","SW",D27="Omit", "")</x:f>
        <x:v>NW</x:v>
      </x:c>
      <x:c r="D27" s="8" t="s">
        <x:v>159</x:v>
      </x:c>
      <x:c r="E27" s="63" t="str">
        <x:f t="shared" si="1"/>
        <x:v>Correct</x:v>
      </x:c>
      <x:c r="F27" s="72">
        <x:v>3.0</x:v>
      </x:c>
      <x:c r="G27" s="58" t="s">
        <x:v>105</x:v>
      </x:c>
      <x:c r="H27" s="62" t="str">
        <x:f t="array" ref="H27">IF($G27="","",TEXTJOIN("",TRUE,MID($B27,MID($G27,SEQUENCE(LEN($G27),1),1)+0,1)))</x:f>
        <x:v>B</x:v>
      </x:c>
      <x:c r="I27" s="68" t="str">
        <x:f t="shared" si="2"/>
      </x:c>
      <x:c r="J27" s="67"/>
    </x:row>
    <x:row r="28">
      <x:c r="A28" s="54">
        <x:v>19.0</x:v>
      </x:c>
      <x:c r="B28" s="54" t="s">
        <x:v>155</x:v>
      </x:c>
      <x:c r="C28" s="55" t="str">
        <x:f t="array" ref="C28">IFS(D28="","", D28="A","SW", D28="B","SE", D28="C","NW", D28="D","NE",D28="Omit", "")</x:f>
        <x:v>SE</x:v>
      </x:c>
      <x:c r="D28" s="8" t="s">
        <x:v>159</x:v>
      </x:c>
      <x:c r="E28" s="63" t="str">
        <x:f t="shared" si="1"/>
        <x:v>Correct</x:v>
      </x:c>
      <x:c r="F28" s="72">
        <x:v>24.0</x:v>
      </x:c>
      <x:c r="G28" s="58" t="s">
        <x:v>161</x:v>
      </x:c>
      <x:c r="H28" s="62" t="str">
        <x:f t="array" ref="H28">IF($G28="","",TEXTJOIN("",TRUE,MID($B28,MID($G28,SEQUENCE(LEN($G28),1),1)+0,1)))</x:f>
        <x:v>Error: #VALUE!</x:v>
      </x:c>
      <x:c r="I28" s="68" t="str">
        <x:f t="shared" si="2"/>
      </x:c>
      <x:c r="J28" s="67"/>
    </x:row>
    <x:row r="29">
      <x:c r="A29" s="54">
        <x:v>20.0</x:v>
      </x:c>
      <x:c r="B29" s="54" t="s">
        <x:v>157</x:v>
      </x:c>
      <x:c r="C29" s="55" t="str">
        <x:f t="array" ref="C29">IFS(D29="","", D29="A","NE", D29="B","SW", D29="C","SE", D29="D","NW",D29="Omit", "")</x:f>
        <x:v>NE</x:v>
      </x:c>
      <x:c r="D29" s="8" t="s">
        <x:v>153</x:v>
      </x:c>
      <x:c r="E29" s="56" t="str">
        <x:f t="shared" si="1"/>
        <x:v>Incorrect</x:v>
      </x:c>
      <x:c r="F29" s="72">
        <x:v>11.0</x:v>
      </x:c>
      <x:c r="G29" s="58" t="s">
        <x:v>195</x:v>
      </x:c>
      <x:c r="H29" s="62" t="str">
        <x:f t="array" ref="H29">IF($G29="","",TEXTJOIN("",TRUE,MID($B29,MID($G29,SEQUENCE(LEN($G29),1),1)+0,1)))</x:f>
        <x:v>Error: #VALUE!</x:v>
      </x:c>
      <x:c r="I29" s="69" t="str">
        <x:f t="shared" si="2"/>
        <x:v>Regressive</x:v>
      </x:c>
      <x:c r="J29" s="67"/>
    </x:row>
    <x:row r="30">
      <x:c r="A30" s="54">
        <x:v>21.0</x:v>
      </x:c>
      <x:c r="B30" s="54" t="s">
        <x:v>148</x:v>
      </x:c>
      <x:c r="C30" s="55" t="str">
        <x:f t="array" ref="C30">IFS(D30="","", D30="A","NW", D30="B","NE", D30="C","SW", D30="D","SE",D30="Omit", "")</x:f>
        <x:v>NW</x:v>
      </x:c>
      <x:c r="D30" s="8" t="s">
        <x:v>153</x:v>
      </x:c>
      <x:c r="E30" s="56" t="str">
        <x:f t="shared" si="1"/>
        <x:v>Incorrect</x:v>
      </x:c>
      <x:c r="F30" s="72">
        <x:v>7.0</x:v>
      </x:c>
      <x:c r="G30" s="58" t="s">
        <x:v>105</x:v>
      </x:c>
      <x:c r="H30" s="62" t="str">
        <x:f t="array" ref="H30">IF($G30="","",TEXTJOIN("",TRUE,MID($B30,MID($G30,SEQUENCE(LEN($G30),1),1)+0,1)))</x:f>
        <x:v>A</x:v>
      </x:c>
      <x:c r="I30" s="69" t="str">
        <x:f t="shared" si="2"/>
        <x:v>Regressive</x:v>
      </x:c>
      <x:c r="J30" s="67"/>
    </x:row>
    <x:row r="31">
      <x:c r="A31" s="54">
        <x:v>22.0</x:v>
      </x:c>
      <x:c r="B31" s="54" t="s">
        <x:v>152</x:v>
      </x:c>
      <x:c r="C31" s="55" t="str">
        <x:f t="array" ref="C31">IFS(D31="","", D31="A","SE", D31="B","NW", D31="C","NE", D31="D","SW",D31="Omit", "")</x:f>
        <x:v>NW</x:v>
      </x:c>
      <x:c r="D31" s="8" t="s">
        <x:v>159</x:v>
      </x:c>
      <x:c r="E31" s="63" t="str">
        <x:f t="shared" si="1"/>
        <x:v>Correct</x:v>
      </x:c>
      <x:c r="F31" s="72">
        <x:v>2.0</x:v>
      </x:c>
      <x:c r="G31" s="58" t="s">
        <x:v>105</x:v>
      </x:c>
      <x:c r="H31" s="62" t="str">
        <x:f t="array" ref="H31">IF($G31="","",TEXTJOIN("",TRUE,MID($B31,MID($G31,SEQUENCE(LEN($G31),1),1)+0,1)))</x:f>
        <x:v>B</x:v>
      </x:c>
      <x:c r="I31" s="68" t="str">
        <x:f t="shared" si="2"/>
      </x:c>
      <x:c r="J31" s="67"/>
    </x:row>
    <x:row r="32">
      <x:c r="A32" s="54">
        <x:v>23.0</x:v>
      </x:c>
      <x:c r="B32" s="54" t="s">
        <x:v>155</x:v>
      </x:c>
      <x:c r="C32" s="55" t="str">
        <x:f t="array" ref="C32">IFS(D32="","", D32="A","SW", D32="B","SE", D32="C","NW", D32="D","NE",D32="Omit", "")</x:f>
        <x:v>SE</x:v>
      </x:c>
      <x:c r="D32" s="8" t="s">
        <x:v>159</x:v>
      </x:c>
      <x:c r="E32" s="63" t="str">
        <x:f t="shared" si="1"/>
        <x:v>Correct</x:v>
      </x:c>
      <x:c r="F32" s="72">
        <x:v>3.0</x:v>
      </x:c>
      <x:c r="G32" s="58" t="s">
        <x:v>101</x:v>
      </x:c>
      <x:c r="H32" s="62" t="str">
        <x:f t="array" ref="H32">IF($G32="","",TEXTJOIN("",TRUE,MID($B32,MID($G32,SEQUENCE(LEN($G32),1),1)+0,1)))</x:f>
        <x:v>B</x:v>
      </x:c>
      <x:c r="I32" s="68" t="str">
        <x:f t="shared" si="2"/>
      </x:c>
      <x:c r="J32" s="67"/>
    </x:row>
    <x:row r="33">
      <x:c r="A33" s="54">
        <x:v>24.0</x:v>
      </x:c>
      <x:c r="B33" s="54" t="s">
        <x:v>157</x:v>
      </x:c>
      <x:c r="C33" s="55" t="str">
        <x:f t="array" ref="C33">IFS(D33="","", D33="A","NE", D33="B","SW", D33="C","SE", D33="D","NW",D33="Omit", "")</x:f>
        <x:v>SW</x:v>
      </x:c>
      <x:c r="D33" s="8" t="s">
        <x:v>159</x:v>
      </x:c>
      <x:c r="E33" s="63" t="str">
        <x:f t="shared" si="1"/>
        <x:v>Correct</x:v>
      </x:c>
      <x:c r="F33" s="72">
        <x:v>79.0</x:v>
      </x:c>
      <x:c r="G33" s="58" t="s">
        <x:v>156</x:v>
      </x:c>
      <x:c r="H33" s="62" t="str">
        <x:f t="array" ref="H33">IF($G33="","",TEXTJOIN("",TRUE,MID($B33,MID($G33,SEQUENCE(LEN($G33),1),1)+0,1)))</x:f>
        <x:v>Error: #VALUE!</x:v>
      </x:c>
      <x:c r="I33" s="68" t="str">
        <x:f t="shared" si="2"/>
      </x:c>
      <x:c r="J33" s="67"/>
    </x:row>
    <x:row r="34">
      <x:c r="A34" s="54">
        <x:v>25.0</x:v>
      </x:c>
      <x:c r="B34" s="54" t="s">
        <x:v>148</x:v>
      </x:c>
      <x:c r="C34" s="55" t="str">
        <x:f t="array" ref="C34">IFS(D34="","", D34="A","NW", D34="B","NE", D34="C","SW", D34="D","SE",D34="Omit", "")</x:f>
        <x:v>NE</x:v>
      </x:c>
      <x:c r="D34" s="8" t="s">
        <x:v>159</x:v>
      </x:c>
      <x:c r="E34" s="63" t="str">
        <x:f t="shared" si="1"/>
        <x:v>Correct</x:v>
      </x:c>
      <x:c r="F34" s="40">
        <x:v>7.0</x:v>
      </x:c>
      <x:c r="G34" s="58" t="s">
        <x:v>196</x:v>
      </x:c>
      <x:c r="H34" s="62" t="str">
        <x:f t="array" ref="H34">IF($G34="","",TEXTJOIN("",TRUE,MID($B34,MID($G34,SEQUENCE(LEN($G34),1),1)+0,1)))</x:f>
        <x:v>B</x:v>
      </x:c>
      <x:c r="I34" s="68" t="str">
        <x:f t="shared" si="2"/>
      </x:c>
      <x:c r="J34" s="67"/>
    </x:row>
    <x:row r="35">
      <x:c r="A35" s="54">
        <x:v>26.0</x:v>
      </x:c>
      <x:c r="B35" s="54" t="s">
        <x:v>152</x:v>
      </x:c>
      <x:c r="C35" s="55" t="str">
        <x:f t="array" ref="C35">IFS(D35="","", D35="A","SE", D35="B","NW", D35="C","NE", D35="D","SW",D35="Omit", "")</x:f>
        <x:v>SE</x:v>
      </x:c>
      <x:c r="D35" s="8" t="s">
        <x:v>153</x:v>
      </x:c>
      <x:c r="E35" s="56" t="str">
        <x:f t="shared" si="1"/>
        <x:v>Incorrect</x:v>
      </x:c>
      <x:c r="F35" s="40">
        <x:v>8.0</x:v>
      </x:c>
      <x:c r="G35" s="58" t="s">
        <x:v>179</x:v>
      </x:c>
      <x:c r="H35" s="62" t="str">
        <x:f t="array" ref="H35">IF($G35="","",TEXTJOIN("",TRUE,MID($B35,MID($G35,SEQUENCE(LEN($G35),1),1)+0,1)))</x:f>
        <x:v>Error: #VALUE!</x:v>
      </x:c>
      <x:c r="I35" s="69" t="str">
        <x:f t="shared" si="2"/>
        <x:v>Regressive</x:v>
      </x:c>
      <x:c r="J35" s="67"/>
    </x:row>
    <x:row r="36">
      <x:c r="A36" s="54">
        <x:v>27.0</x:v>
      </x:c>
      <x:c r="B36" s="54" t="s">
        <x:v>155</x:v>
      </x:c>
      <x:c r="C36" s="55" t="str">
        <x:f t="array" ref="C36">IFS(D36="","", D36="A","SW", D36="B","SE", D36="C","NW", D36="D","NE",D36="Omit", "")</x:f>
        <x:v>SE</x:v>
      </x:c>
      <x:c r="D36" s="8" t="s">
        <x:v>159</x:v>
      </x:c>
      <x:c r="E36" s="63" t="str">
        <x:f t="shared" si="1"/>
        <x:v>Correct</x:v>
      </x:c>
      <x:c r="F36" s="40">
        <x:v>3.0</x:v>
      </x:c>
      <x:c r="G36" s="58" t="s">
        <x:v>179</x:v>
      </x:c>
      <x:c r="H36" s="62" t="str">
        <x:f t="array" ref="H36">IF($G36="","",TEXTJOIN("",TRUE,MID($B36,MID($G36,SEQUENCE(LEN($G36),1),1)+0,1)))</x:f>
        <x:v>Error: #VALUE!</x:v>
      </x:c>
      <x:c r="I36" s="68" t="str">
        <x:f t="shared" si="2"/>
      </x:c>
      <x:c r="J36" s="67"/>
    </x:row>
    <x:row r="37">
      <x:c r="A37" s="54">
        <x:v>28.0</x:v>
      </x:c>
      <x:c r="B37" s="54" t="s">
        <x:v>157</x:v>
      </x:c>
      <x:c r="C37" s="55" t="str">
        <x:f t="array" ref="C37">IFS(D37="","", D37="A","NE", D37="B","SW", D37="C","SE", D37="D","NW",D37="Omit", "")</x:f>
        <x:v>SW</x:v>
      </x:c>
      <x:c r="D37" s="8" t="s">
        <x:v>159</x:v>
      </x:c>
      <x:c r="E37" s="63" t="str">
        <x:f t="shared" si="1"/>
        <x:v>Correct</x:v>
      </x:c>
      <x:c r="F37" s="40">
        <x:v>3.0</x:v>
      </x:c>
      <x:c r="G37" s="58" t="s">
        <x:v>110</x:v>
      </x:c>
      <x:c r="H37" s="62" t="str">
        <x:f t="array" ref="H37">IF($G37="","",TEXTJOIN("",TRUE,MID($B37,MID($G37,SEQUENCE(LEN($G37),1),1)+0,1)))</x:f>
        <x:v>B</x:v>
      </x:c>
      <x:c r="I37" s="68" t="str">
        <x:f t="shared" si="2"/>
      </x:c>
      <x:c r="J37" s="67"/>
    </x:row>
    <x:row r="38">
      <x:c r="A38" s="54">
        <x:v>29.0</x:v>
      </x:c>
      <x:c r="B38" s="54" t="s">
        <x:v>148</x:v>
      </x:c>
      <x:c r="C38" s="55" t="str">
        <x:f t="array" ref="C38">IFS(D38="","", D38="A","NW", D38="B","NE", D38="C","SW", D38="D","SE",D38="Omit", "")</x:f>
        <x:v>NE</x:v>
      </x:c>
      <x:c r="D38" s="8" t="s">
        <x:v>159</x:v>
      </x:c>
      <x:c r="E38" s="63" t="str">
        <x:f t="shared" si="1"/>
        <x:v>Correct</x:v>
      </x:c>
      <x:c r="F38" s="40">
        <x:v>9.0</x:v>
      </x:c>
      <x:c r="G38" s="58" t="s">
        <x:v>197</x:v>
      </x:c>
      <x:c r="H38" s="62" t="str">
        <x:f t="array" ref="H38">IF($G38="","",TEXTJOIN("",TRUE,MID($B38,MID($G38,SEQUENCE(LEN($G38),1),1)+0,1)))</x:f>
        <x:v>Error: #VALUE!</x:v>
      </x:c>
      <x:c r="I38" s="68" t="str">
        <x:f t="shared" si="2"/>
      </x:c>
      <x:c r="J38" s="67"/>
    </x:row>
    <x:row r="39">
      <x:c r="A39" s="54">
        <x:v>30.0</x:v>
      </x:c>
      <x:c r="B39" s="54" t="s">
        <x:v>152</x:v>
      </x:c>
      <x:c r="C39" s="55" t="str">
        <x:f t="array" ref="C39">IFS(D39="","", D39="A","SE", D39="B","NW", D39="C","NE", D39="D","SW",D39="Omit", "")</x:f>
        <x:v>NW</x:v>
      </x:c>
      <x:c r="D39" s="8" t="s">
        <x:v>159</x:v>
      </x:c>
      <x:c r="E39" s="63" t="str">
        <x:f t="shared" si="1"/>
        <x:v>Correct</x:v>
      </x:c>
      <x:c r="F39" s="40">
        <x:v>13.0</x:v>
      </x:c>
      <x:c r="G39" s="58" t="s">
        <x:v>198</x:v>
      </x:c>
      <x:c r="H39" s="62" t="str">
        <x:f t="array" ref="H39">IF($G39="","",TEXTJOIN("",TRUE,MID($B39,MID($G39,SEQUENCE(LEN($G39),1),1)+0,1)))</x:f>
        <x:v>Error: #VALUE!</x:v>
      </x:c>
      <x:c r="I39" s="68" t="str">
        <x:f t="shared" si="2"/>
      </x:c>
      <x:c r="J39" s="67"/>
    </x:row>
    <x:row r="40">
      <x:c r="A40" s="54">
        <x:v>31.0</x:v>
      </x:c>
      <x:c r="B40" s="54" t="s">
        <x:v>155</x:v>
      </x:c>
      <x:c r="C40" s="55" t="str">
        <x:f t="array" ref="C40">IFS(D40="","", D40="A","NW", D40="B","NE", D40="C","SW", D40="D","SE",D40="Omit", "")</x:f>
      </x:c>
      <x:c r="D40" s="70"/>
      <x:c r="E40" s="26" t="str">
        <x:f t="shared" si="1"/>
      </x:c>
      <x:c r="F40" s="71"/>
      <x:c r="G40" s="67"/>
      <x:c r="H40" s="26" t="str">
        <x:f t="array" ref="H40">IF($G40="","",TEXTJOIN("",TRUE,MID($B40,MID($G40,SEQUENCE(LEN($G40),1),1)+0,1)))</x:f>
      </x:c>
      <x:c r="I40" s="26" t="str">
        <x:f t="shared" ref="I40:I129" si="3">IF(OR(D40="",D40="Omit"),"",IF(D40="B","",IF(D40="A",IF(COUNTIF(D$10:D39,"B")=0,"Perseverative","Regressive"),IF(D40="C","Irrelevant",IF(D40="D","Novel","")))))</x:f>
      </x:c>
      <x:c r="J40" s="67"/>
    </x:row>
    <x:row r="41">
      <x:c r="A41" s="54">
        <x:v>32.0</x:v>
      </x:c>
      <x:c r="B41" s="54" t="s">
        <x:v>157</x:v>
      </x:c>
      <x:c r="C41" s="55" t="str">
        <x:f t="array" ref="C41">IFS(D41="","", D41="A","SE", D41="B","NW", D41="C","NE", D41="D","SW",D41="Omit", "")</x:f>
      </x:c>
      <x:c r="D41" s="70"/>
      <x:c r="E41" s="26" t="str">
        <x:f t="shared" si="1"/>
      </x:c>
      <x:c r="F41" s="71"/>
      <x:c r="G41" s="67"/>
      <x:c r="H41" s="26" t="str">
        <x:f t="array" ref="H41">IF($G41="","",TEXTJOIN("",TRUE,MID($B41,MID($G41,SEQUENCE(LEN($G41),1),1)+0,1)))</x:f>
      </x:c>
      <x:c r="I41" s="26" t="str">
        <x:f t="shared" si="3"/>
      </x:c>
      <x:c r="J41" s="67"/>
    </x:row>
    <x:row r="42">
      <x:c r="A42" s="54">
        <x:v>33.0</x:v>
      </x:c>
      <x:c r="B42" s="54" t="s">
        <x:v>148</x:v>
      </x:c>
      <x:c r="C42" s="55" t="str">
        <x:f t="array" ref="C42">IFS(D42="","", D42="A","SW", D42="B","SE", D42="C","NW", D42="D","NE",D42="Omit", "")</x:f>
      </x:c>
      <x:c r="D42" s="70"/>
      <x:c r="E42" s="26" t="str">
        <x:f t="shared" si="1"/>
      </x:c>
      <x:c r="F42" s="71"/>
      <x:c r="G42" s="67"/>
      <x:c r="H42" s="26" t="str">
        <x:f t="array" ref="H42">IF($G42="","",TEXTJOIN("",TRUE,MID($B42,MID($G42,SEQUENCE(LEN($G42),1),1)+0,1)))</x:f>
      </x:c>
      <x:c r="I42" s="26" t="str">
        <x:f t="shared" si="3"/>
      </x:c>
      <x:c r="J42" s="67"/>
    </x:row>
    <x:row r="43">
      <x:c r="A43" s="54">
        <x:v>34.0</x:v>
      </x:c>
      <x:c r="B43" s="54" t="s">
        <x:v>152</x:v>
      </x:c>
      <x:c r="C43" s="55" t="str">
        <x:f t="array" ref="C43">IFS(D43="","", D43="A","NE", D43="B","SW", D43="C","SE", D43="D","NW",D43="Omit", "")</x:f>
      </x:c>
      <x:c r="D43" s="70"/>
      <x:c r="E43" s="26" t="str">
        <x:f t="shared" si="1"/>
      </x:c>
      <x:c r="F43" s="71"/>
      <x:c r="G43" s="67"/>
      <x:c r="H43" s="26" t="str">
        <x:f t="array" ref="H43">IF($G43="","",TEXTJOIN("",TRUE,MID($B43,MID($G43,SEQUENCE(LEN($G43),1),1)+0,1)))</x:f>
      </x:c>
      <x:c r="I43" s="26" t="str">
        <x:f t="shared" si="3"/>
      </x:c>
      <x:c r="J43" s="67"/>
    </x:row>
    <x:row r="44">
      <x:c r="A44" s="54">
        <x:v>35.0</x:v>
      </x:c>
      <x:c r="B44" s="54" t="s">
        <x:v>155</x:v>
      </x:c>
      <x:c r="C44" s="55" t="str">
        <x:f t="array" ref="C44">IFS(D44="","", D44="A","NW", D44="B","NE", D44="C","SW", D44="D","SE",D44="Omit", "")</x:f>
      </x:c>
      <x:c r="D44" s="70"/>
      <x:c r="E44" s="26" t="str">
        <x:f t="shared" si="1"/>
      </x:c>
      <x:c r="F44" s="71"/>
      <x:c r="G44" s="67"/>
      <x:c r="H44" s="26" t="str">
        <x:f t="array" ref="H44">IF($G44="","",TEXTJOIN("",TRUE,MID($B44,MID($G44,SEQUENCE(LEN($G44),1),1)+0,1)))</x:f>
      </x:c>
      <x:c r="I44" s="26" t="str">
        <x:f t="shared" si="3"/>
      </x:c>
      <x:c r="J44" s="67"/>
    </x:row>
    <x:row r="45">
      <x:c r="A45" s="54">
        <x:v>36.0</x:v>
      </x:c>
      <x:c r="B45" s="54" t="s">
        <x:v>157</x:v>
      </x:c>
      <x:c r="C45" s="55" t="str">
        <x:f t="array" ref="C45">IFS(D45="","", D45="A","SE", D45="B","NW", D45="C","NE", D45="D","SW",D45="Omit", "")</x:f>
      </x:c>
      <x:c r="D45" s="70"/>
      <x:c r="E45" s="26" t="str">
        <x:f t="shared" si="1"/>
      </x:c>
      <x:c r="F45" s="71"/>
      <x:c r="G45" s="67"/>
      <x:c r="H45" s="26" t="str">
        <x:f t="array" ref="H45">IF($G45="","",TEXTJOIN("",TRUE,MID($B45,MID($G45,SEQUENCE(LEN($G45),1),1)+0,1)))</x:f>
      </x:c>
      <x:c r="I45" s="26" t="str">
        <x:f t="shared" si="3"/>
      </x:c>
      <x:c r="J45" s="67"/>
    </x:row>
    <x:row r="46">
      <x:c r="A46" s="54">
        <x:v>37.0</x:v>
      </x:c>
      <x:c r="B46" s="54" t="s">
        <x:v>148</x:v>
      </x:c>
      <x:c r="C46" s="55" t="str">
        <x:f t="array" ref="C46">IFS(D46="","", D46="A","SW", D46="B","SE", D46="C","NW", D46="D","NE",D46="Omit", "")</x:f>
      </x:c>
      <x:c r="D46" s="70"/>
      <x:c r="E46" s="26" t="str">
        <x:f t="shared" si="1"/>
      </x:c>
      <x:c r="F46" s="71"/>
      <x:c r="G46" s="67"/>
      <x:c r="H46" s="26" t="str">
        <x:f t="array" ref="H46">IF($G46="","",TEXTJOIN("",TRUE,MID($B46,MID($G46,SEQUENCE(LEN($G46),1),1)+0,1)))</x:f>
      </x:c>
      <x:c r="I46" s="26" t="str">
        <x:f t="shared" si="3"/>
      </x:c>
      <x:c r="J46" s="67"/>
    </x:row>
    <x:row r="47">
      <x:c r="A47" s="54">
        <x:v>38.0</x:v>
      </x:c>
      <x:c r="B47" s="54" t="s">
        <x:v>152</x:v>
      </x:c>
      <x:c r="C47" s="55" t="str">
        <x:f t="array" ref="C47">IFS(D47="","", D47="A","NE", D47="B","SW", D47="C","SE", D47="D","NW",D47="Omit", "")</x:f>
      </x:c>
      <x:c r="D47" s="70"/>
      <x:c r="E47" s="26" t="str">
        <x:f t="shared" si="1"/>
      </x:c>
      <x:c r="F47" s="71"/>
      <x:c r="G47" s="67"/>
      <x:c r="H47" s="26" t="str">
        <x:f t="array" ref="H47">IF($G47="","",TEXTJOIN("",TRUE,MID($B47,MID($G47,SEQUENCE(LEN($G47),1),1)+0,1)))</x:f>
      </x:c>
      <x:c r="I47" s="26" t="str">
        <x:f t="shared" si="3"/>
      </x:c>
      <x:c r="J47" s="67"/>
    </x:row>
    <x:row r="48">
      <x:c r="A48" s="54">
        <x:v>39.0</x:v>
      </x:c>
      <x:c r="B48" s="54" t="s">
        <x:v>155</x:v>
      </x:c>
      <x:c r="C48" s="55" t="str">
        <x:f t="array" ref="C48">IFS(D48="","", D48="A","NW", D48="B","NE", D48="C","SW", D48="D","SE",D48="Omit", "")</x:f>
      </x:c>
      <x:c r="D48" s="70"/>
      <x:c r="E48" s="26" t="str">
        <x:f t="shared" si="1"/>
      </x:c>
      <x:c r="F48" s="71"/>
      <x:c r="G48" s="67"/>
      <x:c r="H48" s="26" t="str">
        <x:f t="array" ref="H48">IF($G48="","",TEXTJOIN("",TRUE,MID($B48,MID($G48,SEQUENCE(LEN($G48),1),1)+0,1)))</x:f>
      </x:c>
      <x:c r="I48" s="26" t="str">
        <x:f t="shared" si="3"/>
      </x:c>
      <x:c r="J48" s="67"/>
    </x:row>
    <x:row r="49">
      <x:c r="A49" s="54">
        <x:v>40.0</x:v>
      </x:c>
      <x:c r="B49" s="54" t="s">
        <x:v>157</x:v>
      </x:c>
      <x:c r="C49" s="55" t="str">
        <x:f t="array" ref="C49">IFS(D49="","", D49="A","SE", D49="B","NW", D49="C","NE", D49="D","SW",D49="Omit", "")</x:f>
      </x:c>
      <x:c r="D49" s="70"/>
      <x:c r="E49" s="26" t="str">
        <x:f t="shared" si="1"/>
      </x:c>
      <x:c r="F49" s="71"/>
      <x:c r="G49" s="67"/>
      <x:c r="H49" s="26" t="str">
        <x:f t="array" ref="H49">IF($G49="","",TEXTJOIN("",TRUE,MID($B49,MID($G49,SEQUENCE(LEN($G49),1),1)+0,1)))</x:f>
      </x:c>
      <x:c r="I49" s="26" t="str">
        <x:f t="shared" si="3"/>
      </x:c>
      <x:c r="J49" s="67"/>
    </x:row>
    <x:row r="50">
      <x:c r="A50" s="54">
        <x:v>41.0</x:v>
      </x:c>
      <x:c r="B50" s="54" t="s">
        <x:v>148</x:v>
      </x:c>
      <x:c r="C50" s="55" t="str">
        <x:f t="array" ref="C50">IFS(D50="","", D50="A","SW", D50="B","SE", D50="C","NW", D50="D","NE",D50="Omit", "")</x:f>
      </x:c>
      <x:c r="D50" s="70"/>
      <x:c r="E50" s="26" t="str">
        <x:f t="shared" si="1"/>
      </x:c>
      <x:c r="F50" s="71"/>
      <x:c r="G50" s="67"/>
      <x:c r="H50" s="26" t="str">
        <x:f t="array" ref="H50">IF($G50="","",TEXTJOIN("",TRUE,MID($B50,MID($G50,SEQUENCE(LEN($G50),1),1)+0,1)))</x:f>
      </x:c>
      <x:c r="I50" s="26" t="str">
        <x:f t="shared" si="3"/>
      </x:c>
      <x:c r="J50" s="67"/>
    </x:row>
    <x:row r="51">
      <x:c r="A51" s="54">
        <x:v>42.0</x:v>
      </x:c>
      <x:c r="B51" s="54" t="s">
        <x:v>152</x:v>
      </x:c>
      <x:c r="C51" s="55" t="str">
        <x:f t="array" ref="C51">IFS(D51="","", D51="A","NE", D51="B","SW", D51="C","SE", D51="D","NW",D51="Omit", "")</x:f>
      </x:c>
      <x:c r="D51" s="70"/>
      <x:c r="E51" s="26" t="str">
        <x:f t="shared" si="1"/>
      </x:c>
      <x:c r="F51" s="71"/>
      <x:c r="G51" s="67"/>
      <x:c r="H51" s="26" t="str">
        <x:f t="array" ref="H51">IF($G51="","",TEXTJOIN("",TRUE,MID($B51,MID($G51,SEQUENCE(LEN($G51),1),1)+0,1)))</x:f>
      </x:c>
      <x:c r="I51" s="26" t="str">
        <x:f t="shared" si="3"/>
      </x:c>
      <x:c r="J51" s="67"/>
    </x:row>
    <x:row r="52">
      <x:c r="A52" s="54">
        <x:v>43.0</x:v>
      </x:c>
      <x:c r="B52" s="54" t="s">
        <x:v>155</x:v>
      </x:c>
      <x:c r="C52" s="55" t="str">
        <x:f t="array" ref="C52">IFS(D52="","", D52="A","NW", D52="B","NE", D52="C","SW", D52="D","SE",D52="Omit", "")</x:f>
      </x:c>
      <x:c r="D52" s="70"/>
      <x:c r="E52" s="26" t="str">
        <x:f t="shared" si="1"/>
      </x:c>
      <x:c r="F52" s="71"/>
      <x:c r="G52" s="67"/>
      <x:c r="H52" s="26" t="str">
        <x:f t="array" ref="H52">IF($G52="","",TEXTJOIN("",TRUE,MID($B52,MID($G52,SEQUENCE(LEN($G52),1),1)+0,1)))</x:f>
      </x:c>
      <x:c r="I52" s="26" t="str">
        <x:f t="shared" si="3"/>
      </x:c>
      <x:c r="J52" s="67"/>
    </x:row>
    <x:row r="53">
      <x:c r="A53" s="54">
        <x:v>44.0</x:v>
      </x:c>
      <x:c r="B53" s="54" t="s">
        <x:v>157</x:v>
      </x:c>
      <x:c r="C53" s="55" t="str">
        <x:f t="array" ref="C53">IFS(D53="","", D53="A","SE", D53="B","NW", D53="C","NE", D53="D","SW",D53="Omit", "")</x:f>
      </x:c>
      <x:c r="D53" s="70"/>
      <x:c r="E53" s="26" t="str">
        <x:f t="shared" si="1"/>
      </x:c>
      <x:c r="F53" s="71"/>
      <x:c r="G53" s="67"/>
      <x:c r="H53" s="26" t="str">
        <x:f t="array" ref="H53">IF($G53="","",TEXTJOIN("",TRUE,MID($B53,MID($G53,SEQUENCE(LEN($G53),1),1)+0,1)))</x:f>
      </x:c>
      <x:c r="I53" s="26" t="str">
        <x:f t="shared" si="3"/>
      </x:c>
      <x:c r="J53" s="67"/>
    </x:row>
    <x:row r="54">
      <x:c r="A54" s="54">
        <x:v>45.0</x:v>
      </x:c>
      <x:c r="B54" s="54" t="s">
        <x:v>148</x:v>
      </x:c>
      <x:c r="C54" s="55" t="str">
        <x:f t="array" ref="C54">IFS(D54="","", D54="A","SW", D54="B","SE", D54="C","NW", D54="D","NE",D54="Omit", "")</x:f>
      </x:c>
      <x:c r="D54" s="70"/>
      <x:c r="E54" s="26" t="str">
        <x:f t="shared" si="1"/>
      </x:c>
      <x:c r="F54" s="71"/>
      <x:c r="G54" s="67"/>
      <x:c r="H54" s="26" t="str">
        <x:f t="array" ref="H54">IF($G54="","",TEXTJOIN("",TRUE,MID($B54,MID($G54,SEQUENCE(LEN($G54),1),1)+0,1)))</x:f>
      </x:c>
      <x:c r="I54" s="26" t="str">
        <x:f t="shared" si="3"/>
      </x:c>
      <x:c r="J54" s="67"/>
    </x:row>
    <x:row r="55">
      <x:c r="A55" s="54">
        <x:v>46.0</x:v>
      </x:c>
      <x:c r="B55" s="54" t="s">
        <x:v>152</x:v>
      </x:c>
      <x:c r="C55" s="55" t="str">
        <x:f t="array" ref="C55">IFS(D55="","", D55="A","NE", D55="B","SW", D55="C","SE", D55="D","NW",D55="Omit", "")</x:f>
      </x:c>
      <x:c r="D55" s="70"/>
      <x:c r="E55" s="26" t="str">
        <x:f t="shared" si="1"/>
      </x:c>
      <x:c r="F55" s="71"/>
      <x:c r="G55" s="67"/>
      <x:c r="H55" s="26" t="str">
        <x:f t="array" ref="H55">IF($G55="","",TEXTJOIN("",TRUE,MID($B55,MID($G55,SEQUENCE(LEN($G55),1),1)+0,1)))</x:f>
      </x:c>
      <x:c r="I55" s="26" t="str">
        <x:f t="shared" si="3"/>
      </x:c>
      <x:c r="J55" s="67"/>
    </x:row>
    <x:row r="56">
      <x:c r="A56" s="54">
        <x:v>47.0</x:v>
      </x:c>
      <x:c r="B56" s="54" t="s">
        <x:v>155</x:v>
      </x:c>
      <x:c r="C56" s="55" t="str">
        <x:f t="array" ref="C56">IFS(D56="","", D56="A","NW", D56="B","NE", D56="C","SW", D56="D","SE",D56="Omit", "")</x:f>
      </x:c>
      <x:c r="D56" s="70"/>
      <x:c r="E56" s="26" t="str">
        <x:f t="shared" si="1"/>
      </x:c>
      <x:c r="F56" s="71"/>
      <x:c r="G56" s="67"/>
      <x:c r="H56" s="26" t="str">
        <x:f t="array" ref="H56">IF($G56="","",TEXTJOIN("",TRUE,MID($B56,MID($G56,SEQUENCE(LEN($G56),1),1)+0,1)))</x:f>
      </x:c>
      <x:c r="I56" s="26" t="str">
        <x:f t="shared" si="3"/>
      </x:c>
      <x:c r="J56" s="67"/>
    </x:row>
    <x:row r="57">
      <x:c r="A57" s="54">
        <x:v>48.0</x:v>
      </x:c>
      <x:c r="B57" s="54" t="s">
        <x:v>157</x:v>
      </x:c>
      <x:c r="C57" s="55" t="str">
        <x:f t="array" ref="C57">IFS(D57="","", D57="A","SE", D57="B","NW", D57="C","NE", D57="D","SW",D57="Omit", "")</x:f>
      </x:c>
      <x:c r="D57" s="70"/>
      <x:c r="E57" s="26" t="str">
        <x:f t="shared" si="1"/>
      </x:c>
      <x:c r="F57" s="71"/>
      <x:c r="G57" s="67"/>
      <x:c r="H57" s="26" t="str">
        <x:f t="array" ref="H57">IF($G57="","",TEXTJOIN("",TRUE,MID($B57,MID($G57,SEQUENCE(LEN($G57),1),1)+0,1)))</x:f>
      </x:c>
      <x:c r="I57" s="26" t="str">
        <x:f t="shared" si="3"/>
      </x:c>
      <x:c r="J57" s="67"/>
    </x:row>
    <x:row r="58">
      <x:c r="A58" s="54">
        <x:v>49.0</x:v>
      </x:c>
      <x:c r="B58" s="54" t="s">
        <x:v>148</x:v>
      </x:c>
      <x:c r="C58" s="55" t="str">
        <x:f t="array" ref="C58">IFS(D58="","", D58="A","SW", D58="B","SE", D58="C","NW", D58="D","NE",D58="Omit", "")</x:f>
      </x:c>
      <x:c r="D58" s="70"/>
      <x:c r="E58" s="26" t="str">
        <x:f t="shared" si="1"/>
      </x:c>
      <x:c r="F58" s="71"/>
      <x:c r="G58" s="67"/>
      <x:c r="H58" s="26" t="str">
        <x:f t="array" ref="H58">IF($G58="","",TEXTJOIN("",TRUE,MID($B58,MID($G58,SEQUENCE(LEN($G58),1),1)+0,1)))</x:f>
      </x:c>
      <x:c r="I58" s="26" t="str">
        <x:f t="shared" si="3"/>
      </x:c>
      <x:c r="J58" s="67"/>
    </x:row>
    <x:row r="59">
      <x:c r="A59" s="54">
        <x:v>50.0</x:v>
      </x:c>
      <x:c r="B59" s="54" t="s">
        <x:v>152</x:v>
      </x:c>
      <x:c r="C59" s="55" t="str">
        <x:f t="array" ref="C59">IFS(D59="","", D59="A","NE", D59="B","SW", D59="C","SE", D59="D","NW",D59="Omit", "")</x:f>
      </x:c>
      <x:c r="D59" s="70"/>
      <x:c r="E59" s="26" t="str">
        <x:f t="shared" si="1"/>
      </x:c>
      <x:c r="F59" s="71"/>
      <x:c r="G59" s="67"/>
      <x:c r="H59" s="26" t="str">
        <x:f t="array" ref="H59">IF($G59="","",TEXTJOIN("",TRUE,MID($B59,MID($G59,SEQUENCE(LEN($G59),1),1)+0,1)))</x:f>
      </x:c>
      <x:c r="I59" s="26" t="str">
        <x:f t="shared" si="3"/>
      </x:c>
      <x:c r="J59" s="67"/>
    </x:row>
    <x:row r="60">
      <x:c r="A60" s="54">
        <x:v>51.0</x:v>
      </x:c>
      <x:c r="B60" s="54" t="s">
        <x:v>155</x:v>
      </x:c>
      <x:c r="C60" s="55" t="str">
        <x:f t="array" ref="C60">IFS(D60="","", D60="A","NW", D60="B","NE", D60="C","SW", D60="D","SE",D60="Omit", "")</x:f>
      </x:c>
      <x:c r="D60" s="70"/>
      <x:c r="E60" s="26" t="str">
        <x:f t="shared" si="1"/>
      </x:c>
      <x:c r="F60" s="71"/>
      <x:c r="G60" s="67"/>
      <x:c r="H60" s="26" t="str">
        <x:f t="array" ref="H60">IF($G60="","",TEXTJOIN("",TRUE,MID($B60,MID($G60,SEQUENCE(LEN($G60),1),1)+0,1)))</x:f>
      </x:c>
      <x:c r="I60" s="26" t="str">
        <x:f t="shared" si="3"/>
      </x:c>
      <x:c r="J60" s="67"/>
    </x:row>
    <x:row r="61">
      <x:c r="A61" s="54">
        <x:v>52.0</x:v>
      </x:c>
      <x:c r="B61" s="54" t="s">
        <x:v>157</x:v>
      </x:c>
      <x:c r="C61" s="55" t="str">
        <x:f t="array" ref="C61">IFS(D61="","", D61="A","SE", D61="B","NW", D61="C","NE", D61="D","SW",D61="Omit", "")</x:f>
      </x:c>
      <x:c r="D61" s="70"/>
      <x:c r="E61" s="26" t="str">
        <x:f t="shared" si="1"/>
      </x:c>
      <x:c r="F61" s="71"/>
      <x:c r="G61" s="67"/>
      <x:c r="H61" s="26" t="str">
        <x:f t="array" ref="H61">IF($G61="","",TEXTJOIN("",TRUE,MID($B61,MID($G61,SEQUENCE(LEN($G61),1),1)+0,1)))</x:f>
      </x:c>
      <x:c r="I61" s="26" t="str">
        <x:f t="shared" si="3"/>
      </x:c>
      <x:c r="J61" s="67"/>
    </x:row>
    <x:row r="62">
      <x:c r="A62" s="54">
        <x:v>53.0</x:v>
      </x:c>
      <x:c r="B62" s="54" t="s">
        <x:v>148</x:v>
      </x:c>
      <x:c r="C62" s="55" t="str">
        <x:f t="array" ref="C62">IFS(D62="","", D62="A","SW", D62="B","SE", D62="C","NW", D62="D","NE",D62="Omit", "")</x:f>
      </x:c>
      <x:c r="D62" s="70"/>
      <x:c r="E62" s="26" t="str">
        <x:f t="shared" si="1"/>
      </x:c>
      <x:c r="F62" s="71"/>
      <x:c r="G62" s="67"/>
      <x:c r="H62" s="26" t="str">
        <x:f t="array" ref="H62">IF($G62="","",TEXTJOIN("",TRUE,MID($B62,MID($G62,SEQUENCE(LEN($G62),1),1)+0,1)))</x:f>
      </x:c>
      <x:c r="I62" s="26" t="str">
        <x:f t="shared" si="3"/>
      </x:c>
      <x:c r="J62" s="67"/>
    </x:row>
    <x:row r="63">
      <x:c r="A63" s="54">
        <x:v>54.0</x:v>
      </x:c>
      <x:c r="B63" s="54" t="s">
        <x:v>152</x:v>
      </x:c>
      <x:c r="C63" s="55" t="str">
        <x:f t="array" ref="C63">IFS(D63="","", D63="A","NE", D63="B","SW", D63="C","SE", D63="D","NW",D63="Omit", "")</x:f>
      </x:c>
      <x:c r="D63" s="70"/>
      <x:c r="E63" s="26" t="str">
        <x:f t="shared" si="1"/>
      </x:c>
      <x:c r="F63" s="71"/>
      <x:c r="G63" s="67"/>
      <x:c r="H63" s="26" t="str">
        <x:f t="array" ref="H63">IF($G63="","",TEXTJOIN("",TRUE,MID($B63,MID($G63,SEQUENCE(LEN($G63),1),1)+0,1)))</x:f>
      </x:c>
      <x:c r="I63" s="26" t="str">
        <x:f t="shared" si="3"/>
      </x:c>
      <x:c r="J63" s="67"/>
    </x:row>
    <x:row r="64">
      <x:c r="A64" s="54">
        <x:v>55.0</x:v>
      </x:c>
      <x:c r="B64" s="54" t="s">
        <x:v>155</x:v>
      </x:c>
      <x:c r="C64" s="55" t="str">
        <x:f t="array" ref="C64">IFS(D64="","", D64="A","NW", D64="B","NE", D64="C","SW", D64="D","SE",D64="Omit", "")</x:f>
      </x:c>
      <x:c r="D64" s="70"/>
      <x:c r="E64" s="26" t="str">
        <x:f t="shared" si="1"/>
      </x:c>
      <x:c r="F64" s="71"/>
      <x:c r="G64" s="67"/>
      <x:c r="H64" s="26" t="str">
        <x:f t="array" ref="H64">IF($G64="","",TEXTJOIN("",TRUE,MID($B64,MID($G64,SEQUENCE(LEN($G64),1),1)+0,1)))</x:f>
      </x:c>
      <x:c r="I64" s="26" t="str">
        <x:f t="shared" si="3"/>
      </x:c>
      <x:c r="J64" s="67"/>
    </x:row>
    <x:row r="65">
      <x:c r="A65" s="54">
        <x:v>56.0</x:v>
      </x:c>
      <x:c r="B65" s="54" t="s">
        <x:v>157</x:v>
      </x:c>
      <x:c r="C65" s="55" t="str">
        <x:f t="array" ref="C65">IFS(D65="","", D65="A","SE", D65="B","NW", D65="C","NE", D65="D","SW",D65="Omit", "")</x:f>
      </x:c>
      <x:c r="D65" s="70"/>
      <x:c r="E65" s="26" t="str">
        <x:f t="shared" si="1"/>
      </x:c>
      <x:c r="F65" s="71"/>
      <x:c r="G65" s="67"/>
      <x:c r="H65" s="26" t="str">
        <x:f t="array" ref="H65">IF($G65="","",TEXTJOIN("",TRUE,MID($B65,MID($G65,SEQUENCE(LEN($G65),1),1)+0,1)))</x:f>
      </x:c>
      <x:c r="I65" s="26" t="str">
        <x:f t="shared" si="3"/>
      </x:c>
      <x:c r="J65" s="67"/>
    </x:row>
    <x:row r="66">
      <x:c r="A66" s="54">
        <x:v>57.0</x:v>
      </x:c>
      <x:c r="B66" s="54" t="s">
        <x:v>148</x:v>
      </x:c>
      <x:c r="C66" s="55" t="str">
        <x:f t="array" ref="C66">IFS(D66="","", D66="A","SW", D66="B","SE", D66="C","NW", D66="D","NE",D66="Omit", "")</x:f>
      </x:c>
      <x:c r="D66" s="70"/>
      <x:c r="E66" s="26" t="str">
        <x:f t="shared" si="1"/>
      </x:c>
      <x:c r="F66" s="71"/>
      <x:c r="G66" s="67"/>
      <x:c r="H66" s="26" t="str">
        <x:f t="array" ref="H66">IF($G66="","",TEXTJOIN("",TRUE,MID($B66,MID($G66,SEQUENCE(LEN($G66),1),1)+0,1)))</x:f>
      </x:c>
      <x:c r="I66" s="26" t="str">
        <x:f t="shared" si="3"/>
      </x:c>
      <x:c r="J66" s="67"/>
    </x:row>
    <x:row r="67">
      <x:c r="A67" s="54">
        <x:v>58.0</x:v>
      </x:c>
      <x:c r="B67" s="54" t="s">
        <x:v>152</x:v>
      </x:c>
      <x:c r="C67" s="55" t="str">
        <x:f t="array" ref="C67">IFS(D67="","", D67="A","NE", D67="B","SW", D67="C","SE", D67="D","NW",D67="Omit", "")</x:f>
      </x:c>
      <x:c r="D67" s="70"/>
      <x:c r="E67" s="26" t="str">
        <x:f t="shared" si="1"/>
      </x:c>
      <x:c r="F67" s="71"/>
      <x:c r="G67" s="67"/>
      <x:c r="H67" s="26" t="str">
        <x:f t="array" ref="H67">IF($G67="","",TEXTJOIN("",TRUE,MID($B67,MID($G67,SEQUENCE(LEN($G67),1),1)+0,1)))</x:f>
      </x:c>
      <x:c r="I67" s="26" t="str">
        <x:f t="shared" si="3"/>
      </x:c>
      <x:c r="J67" s="67"/>
    </x:row>
    <x:row r="68">
      <x:c r="A68" s="54">
        <x:v>59.0</x:v>
      </x:c>
      <x:c r="B68" s="54" t="s">
        <x:v>155</x:v>
      </x:c>
      <x:c r="C68" s="55" t="str">
        <x:f t="array" ref="C68">IFS(D68="","", D68="A","NW", D68="B","NE", D68="C","SW", D68="D","SE",D68="Omit", "")</x:f>
      </x:c>
      <x:c r="D68" s="70"/>
      <x:c r="E68" s="26" t="str">
        <x:f t="shared" si="1"/>
      </x:c>
      <x:c r="F68" s="71"/>
      <x:c r="G68" s="67"/>
      <x:c r="H68" s="26" t="str">
        <x:f t="array" ref="H68">IF($G68="","",TEXTJOIN("",TRUE,MID($B68,MID($G68,SEQUENCE(LEN($G68),1),1)+0,1)))</x:f>
      </x:c>
      <x:c r="I68" s="26" t="str">
        <x:f t="shared" si="3"/>
      </x:c>
      <x:c r="J68" s="67"/>
    </x:row>
    <x:row r="69">
      <x:c r="A69" s="54">
        <x:v>60.0</x:v>
      </x:c>
      <x:c r="B69" s="54" t="s">
        <x:v>157</x:v>
      </x:c>
      <x:c r="C69" s="55" t="str">
        <x:f t="array" ref="C69">IFS(D69="","", D69="A","SE", D69="B","NW", D69="C","NE", D69="D","SW",D69="Omit", "")</x:f>
      </x:c>
      <x:c r="D69" s="70"/>
      <x:c r="E69" s="26" t="str">
        <x:f t="shared" si="1"/>
      </x:c>
      <x:c r="F69" s="71"/>
      <x:c r="G69" s="67"/>
      <x:c r="H69" s="26" t="str">
        <x:f t="array" ref="H69">IF($G69="","",TEXTJOIN("",TRUE,MID($B69,MID($G69,SEQUENCE(LEN($G69),1),1)+0,1)))</x:f>
      </x:c>
      <x:c r="I69" s="26" t="str">
        <x:f t="shared" si="3"/>
      </x:c>
      <x:c r="J69" s="67"/>
    </x:row>
    <x:row r="70">
      <x:c r="A70" s="54">
        <x:v>61.0</x:v>
      </x:c>
      <x:c r="B70" s="54" t="s">
        <x:v>148</x:v>
      </x:c>
      <x:c r="C70" s="55" t="str">
        <x:f t="array" ref="C70">IFS(D70="","", D70="A","NW", D70="B","NE", D70="C","SW", D70="D","SE",D70="Omit", "")</x:f>
      </x:c>
      <x:c r="D70" s="70"/>
      <x:c r="E70" s="26" t="str">
        <x:f t="shared" si="1"/>
      </x:c>
      <x:c r="F70" s="71"/>
      <x:c r="G70" s="67"/>
      <x:c r="H70" s="26" t="str">
        <x:f t="array" ref="H70">IF($G70="","",TEXTJOIN("",TRUE,MID($B70,MID($G70,SEQUENCE(LEN($G70),1),1)+0,1)))</x:f>
      </x:c>
      <x:c r="I70" s="26" t="str">
        <x:f t="shared" si="3"/>
      </x:c>
      <x:c r="J70" s="67"/>
    </x:row>
    <x:row r="71">
      <x:c r="A71" s="54">
        <x:v>62.0</x:v>
      </x:c>
      <x:c r="B71" s="54" t="s">
        <x:v>152</x:v>
      </x:c>
      <x:c r="C71" s="55" t="str">
        <x:f t="array" ref="C71">IFS(D71="","", D71="A","SE", D71="B","NW", D71="C","NE", D71="D","SW",D71="Omit", "")</x:f>
      </x:c>
      <x:c r="D71" s="70"/>
      <x:c r="E71" s="26" t="str">
        <x:f t="shared" si="1"/>
      </x:c>
      <x:c r="F71" s="71"/>
      <x:c r="G71" s="67"/>
      <x:c r="H71" s="26" t="str">
        <x:f t="array" ref="H71">IF($G71="","",TEXTJOIN("",TRUE,MID($B71,MID($G71,SEQUENCE(LEN($G71),1),1)+0,1)))</x:f>
      </x:c>
      <x:c r="I71" s="26" t="str">
        <x:f t="shared" si="3"/>
      </x:c>
      <x:c r="J71" s="67"/>
    </x:row>
    <x:row r="72">
      <x:c r="A72" s="54">
        <x:v>63.0</x:v>
      </x:c>
      <x:c r="B72" s="54" t="s">
        <x:v>155</x:v>
      </x:c>
      <x:c r="C72" s="55" t="str">
        <x:f t="array" ref="C72">IFS(D72="","", D72="A","SW", D72="B","SE", D72="C","NW", D72="D","NE",D72="Omit", "")</x:f>
      </x:c>
      <x:c r="D72" s="70"/>
      <x:c r="E72" s="26" t="str">
        <x:f t="shared" si="1"/>
      </x:c>
      <x:c r="F72" s="71"/>
      <x:c r="G72" s="67"/>
      <x:c r="H72" s="26" t="str">
        <x:f t="array" ref="H72">IF($G72="","",TEXTJOIN("",TRUE,MID($B72,MID($G72,SEQUENCE(LEN($G72),1),1)+0,1)))</x:f>
      </x:c>
      <x:c r="I72" s="26" t="str">
        <x:f t="shared" si="3"/>
      </x:c>
      <x:c r="J72" s="67"/>
    </x:row>
    <x:row r="73">
      <x:c r="A73" s="54">
        <x:v>64.0</x:v>
      </x:c>
      <x:c r="B73" s="54" t="s">
        <x:v>157</x:v>
      </x:c>
      <x:c r="C73" s="55" t="str">
        <x:f t="array" ref="C73">IFS(D73="","", D73="A","NE", D73="B","SW", D73="C","SE", D73="D","NW",D73="Omit", "")</x:f>
      </x:c>
      <x:c r="D73" s="70"/>
      <x:c r="E73" s="26" t="str">
        <x:f t="shared" si="1"/>
      </x:c>
      <x:c r="F73" s="71"/>
      <x:c r="G73" s="67"/>
      <x:c r="H73" s="26" t="str">
        <x:f t="array" ref="H73">IF($G73="","",TEXTJOIN("",TRUE,MID($B73,MID($G73,SEQUENCE(LEN($G73),1),1)+0,1)))</x:f>
      </x:c>
      <x:c r="I73" s="26" t="str">
        <x:f t="shared" si="3"/>
      </x:c>
      <x:c r="J73" s="67"/>
    </x:row>
    <x:row r="74">
      <x:c r="A74" s="54">
        <x:v>65.0</x:v>
      </x:c>
      <x:c r="B74" s="54" t="s">
        <x:v>148</x:v>
      </x:c>
      <x:c r="C74" s="55" t="str">
        <x:f t="array" ref="C74">IFS(D74="","", D74="A","NW", D74="B","NE", D74="C","SW", D74="D","SE",D74="Omit", "")</x:f>
      </x:c>
      <x:c r="D74" s="70"/>
      <x:c r="E74" s="26" t="str">
        <x:f t="shared" si="1"/>
      </x:c>
      <x:c r="F74" s="71"/>
      <x:c r="G74" s="67"/>
      <x:c r="H74" s="26" t="str">
        <x:f t="array" ref="H74">IF($G74="","",TEXTJOIN("",TRUE,MID($B74,MID($G74,SEQUENCE(LEN($G74),1),1)+0,1)))</x:f>
      </x:c>
      <x:c r="I74" s="26" t="str">
        <x:f t="shared" si="3"/>
      </x:c>
      <x:c r="J74" s="67"/>
    </x:row>
    <x:row r="75">
      <x:c r="A75" s="54">
        <x:v>66.0</x:v>
      </x:c>
      <x:c r="B75" s="54" t="s">
        <x:v>152</x:v>
      </x:c>
      <x:c r="C75" s="55" t="str">
        <x:f t="array" ref="C75">IFS(D75="","", D75="A","SE", D75="B","NW", D75="C","NE", D75="D","SW",D75="Omit", "")</x:f>
      </x:c>
      <x:c r="D75" s="70"/>
      <x:c r="E75" s="26" t="str">
        <x:f t="shared" si="1"/>
      </x:c>
      <x:c r="F75" s="71"/>
      <x:c r="G75" s="67"/>
      <x:c r="H75" s="26" t="str">
        <x:f t="array" ref="H75">IF($G75="","",TEXTJOIN("",TRUE,MID($B75,MID($G75,SEQUENCE(LEN($G75),1),1)+0,1)))</x:f>
      </x:c>
      <x:c r="I75" s="26" t="str">
        <x:f t="shared" si="3"/>
      </x:c>
      <x:c r="J75" s="67"/>
    </x:row>
    <x:row r="76">
      <x:c r="A76" s="54">
        <x:v>67.0</x:v>
      </x:c>
      <x:c r="B76" s="54" t="s">
        <x:v>155</x:v>
      </x:c>
      <x:c r="C76" s="55" t="str">
        <x:f t="array" ref="C76">IFS(D76="","", D76="A","SW", D76="B","SE", D76="C","NW", D76="D","NE",D76="Omit", "")</x:f>
      </x:c>
      <x:c r="D76" s="70"/>
      <x:c r="E76" s="26" t="str">
        <x:f t="shared" si="1"/>
      </x:c>
      <x:c r="F76" s="71"/>
      <x:c r="G76" s="67"/>
      <x:c r="H76" s="26" t="str">
        <x:f t="array" ref="H76">IF($G76="","",TEXTJOIN("",TRUE,MID($B76,MID($G76,SEQUENCE(LEN($G76),1),1)+0,1)))</x:f>
      </x:c>
      <x:c r="I76" s="26" t="str">
        <x:f t="shared" si="3"/>
      </x:c>
      <x:c r="J76" s="67"/>
    </x:row>
    <x:row r="77">
      <x:c r="A77" s="54">
        <x:v>68.0</x:v>
      </x:c>
      <x:c r="B77" s="54" t="s">
        <x:v>157</x:v>
      </x:c>
      <x:c r="C77" s="55" t="str">
        <x:f t="array" ref="C77">IFS(D77="","", D77="A","NE", D77="B","SW", D77="C","SE", D77="D","NW",D77="Omit", "")</x:f>
      </x:c>
      <x:c r="D77" s="70"/>
      <x:c r="E77" s="26" t="str">
        <x:f t="shared" si="1"/>
      </x:c>
      <x:c r="F77" s="71"/>
      <x:c r="G77" s="67"/>
      <x:c r="H77" s="26" t="str">
        <x:f t="array" ref="H77">IF($G77="","",TEXTJOIN("",TRUE,MID($B77,MID($G77,SEQUENCE(LEN($G77),1),1)+0,1)))</x:f>
      </x:c>
      <x:c r="I77" s="26" t="str">
        <x:f t="shared" si="3"/>
      </x:c>
      <x:c r="J77" s="67"/>
    </x:row>
    <x:row r="78">
      <x:c r="A78" s="54">
        <x:v>69.0</x:v>
      </x:c>
      <x:c r="B78" s="54" t="s">
        <x:v>148</x:v>
      </x:c>
      <x:c r="C78" s="55" t="str">
        <x:f t="array" ref="C78">IFS(D78="","", D78="A","NW", D78="B","NE", D78="C","SW", D78="D","SE",D78="Omit", "")</x:f>
      </x:c>
      <x:c r="D78" s="70"/>
      <x:c r="E78" s="26" t="str">
        <x:f t="shared" si="1"/>
      </x:c>
      <x:c r="F78" s="71"/>
      <x:c r="G78" s="67"/>
      <x:c r="H78" s="26" t="str">
        <x:f t="array" ref="H78">IF($G78="","",TEXTJOIN("",TRUE,MID($B78,MID($G78,SEQUENCE(LEN($G78),1),1)+0,1)))</x:f>
      </x:c>
      <x:c r="I78" s="26" t="str">
        <x:f t="shared" si="3"/>
      </x:c>
      <x:c r="J78" s="67"/>
    </x:row>
    <x:row r="79">
      <x:c r="A79" s="54">
        <x:v>70.0</x:v>
      </x:c>
      <x:c r="B79" s="54" t="s">
        <x:v>152</x:v>
      </x:c>
      <x:c r="C79" s="55" t="str">
        <x:f t="array" ref="C79">IFS(D79="","", D79="A","SE", D79="B","NW", D79="C","NE", D79="D","SW",D79="Omit", "")</x:f>
      </x:c>
      <x:c r="D79" s="70"/>
      <x:c r="E79" s="26" t="str">
        <x:f t="shared" si="1"/>
      </x:c>
      <x:c r="F79" s="71"/>
      <x:c r="G79" s="67"/>
      <x:c r="H79" s="26" t="str">
        <x:f t="array" ref="H79">IF($G79="","",TEXTJOIN("",TRUE,MID($B79,MID($G79,SEQUENCE(LEN($G79),1),1)+0,1)))</x:f>
      </x:c>
      <x:c r="I79" s="26" t="str">
        <x:f t="shared" si="3"/>
      </x:c>
      <x:c r="J79" s="67"/>
    </x:row>
    <x:row r="80">
      <x:c r="A80" s="54">
        <x:v>71.0</x:v>
      </x:c>
      <x:c r="B80" s="54" t="s">
        <x:v>155</x:v>
      </x:c>
      <x:c r="C80" s="55" t="str">
        <x:f t="array" ref="C80">IFS(D80="","", D80="A","SW", D80="B","SE", D80="C","NW", D80="D","NE",D80="Omit", "")</x:f>
      </x:c>
      <x:c r="D80" s="70"/>
      <x:c r="E80" s="26" t="str">
        <x:f t="shared" si="1"/>
      </x:c>
      <x:c r="F80" s="35"/>
      <x:c r="G80" s="35"/>
      <x:c r="H80" s="26" t="str">
        <x:f t="array" ref="H80">IF($G80="","",TEXTJOIN("",TRUE,MID($B80,MID($G80,SEQUENCE(LEN($G80),1),1)+0,1)))</x:f>
      </x:c>
      <x:c r="I80" s="26" t="str">
        <x:f t="shared" si="3"/>
      </x:c>
      <x:c r="J80" s="35"/>
    </x:row>
    <x:row r="81">
      <x:c r="A81" s="54">
        <x:v>72.0</x:v>
      </x:c>
      <x:c r="B81" s="54" t="s">
        <x:v>157</x:v>
      </x:c>
      <x:c r="C81" s="55" t="str">
        <x:f t="array" ref="C81">IFS(D81="","", D81="A","NE", D81="B","SW", D81="C","SE", D81="D","NW",D81="Omit", "")</x:f>
      </x:c>
      <x:c r="D81" s="70"/>
      <x:c r="E81" s="26" t="str">
        <x:f t="shared" si="1"/>
      </x:c>
      <x:c r="F81" s="35"/>
      <x:c r="G81" s="35"/>
      <x:c r="H81" s="26" t="str">
        <x:f t="array" ref="H81">IF($G81="","",TEXTJOIN("",TRUE,MID($B81,MID($G81,SEQUENCE(LEN($G81),1),1)+0,1)))</x:f>
      </x:c>
      <x:c r="I81" s="26" t="str">
        <x:f t="shared" si="3"/>
      </x:c>
      <x:c r="J81" s="35"/>
    </x:row>
    <x:row r="82">
      <x:c r="A82" s="54">
        <x:v>73.0</x:v>
      </x:c>
      <x:c r="B82" s="54" t="s">
        <x:v>148</x:v>
      </x:c>
      <x:c r="C82" s="55" t="str">
        <x:f t="array" ref="C82">IFS(D82="","", D82="A","NW", D82="B","NE", D82="C","SW", D82="D","SE",D82="Omit", "")</x:f>
      </x:c>
      <x:c r="D82" s="70"/>
      <x:c r="E82" s="26" t="str">
        <x:f t="shared" si="1"/>
      </x:c>
      <x:c r="F82" s="35"/>
      <x:c r="G82" s="35"/>
      <x:c r="H82" s="26" t="str">
        <x:f t="array" ref="H82">IF($G82="","",TEXTJOIN("",TRUE,MID($B82,MID($G82,SEQUENCE(LEN($G82),1),1)+0,1)))</x:f>
      </x:c>
      <x:c r="I82" s="26" t="str">
        <x:f t="shared" si="3"/>
      </x:c>
      <x:c r="J82" s="35"/>
    </x:row>
    <x:row r="83">
      <x:c r="A83" s="54">
        <x:v>74.0</x:v>
      </x:c>
      <x:c r="B83" s="54" t="s">
        <x:v>152</x:v>
      </x:c>
      <x:c r="C83" s="55" t="str">
        <x:f t="array" ref="C83">IFS(D83="","", D83="A","SE", D83="B","NW", D83="C","NE", D83="D","SW",D83="Omit", "")</x:f>
      </x:c>
      <x:c r="D83" s="70"/>
      <x:c r="E83" s="26" t="str">
        <x:f t="shared" si="1"/>
      </x:c>
      <x:c r="F83" s="35"/>
      <x:c r="G83" s="35"/>
      <x:c r="H83" s="26" t="str">
        <x:f t="array" ref="H83">IF($G83="","",TEXTJOIN("",TRUE,MID($B83,MID($G83,SEQUENCE(LEN($G83),1),1)+0,1)))</x:f>
      </x:c>
      <x:c r="I83" s="26" t="str">
        <x:f t="shared" si="3"/>
      </x:c>
      <x:c r="J83" s="35"/>
    </x:row>
    <x:row r="84">
      <x:c r="A84" s="54">
        <x:v>75.0</x:v>
      </x:c>
      <x:c r="B84" s="54" t="s">
        <x:v>155</x:v>
      </x:c>
      <x:c r="C84" s="55" t="str">
        <x:f t="array" ref="C84">IFS(D84="","", D84="A","SW", D84="B","SE", D84="C","NW", D84="D","NE",D84="Omit", "")</x:f>
      </x:c>
      <x:c r="D84" s="70"/>
      <x:c r="E84" s="26" t="str">
        <x:f t="shared" si="1"/>
      </x:c>
      <x:c r="F84" s="35"/>
      <x:c r="G84" s="35"/>
      <x:c r="H84" s="26" t="str">
        <x:f t="array" ref="H84">IF($G84="","",TEXTJOIN("",TRUE,MID($B84,MID($G84,SEQUENCE(LEN($G84),1),1)+0,1)))</x:f>
      </x:c>
      <x:c r="I84" s="26" t="str">
        <x:f t="shared" si="3"/>
      </x:c>
      <x:c r="J84" s="35"/>
    </x:row>
    <x:row r="85">
      <x:c r="A85" s="54">
        <x:v>76.0</x:v>
      </x:c>
      <x:c r="B85" s="54" t="s">
        <x:v>157</x:v>
      </x:c>
      <x:c r="C85" s="55" t="str">
        <x:f t="array" ref="C85">IFS(D85="","", D85="A","NE", D85="B","SW", D85="C","SE", D85="D","NW",D85="Omit", "")</x:f>
      </x:c>
      <x:c r="D85" s="70"/>
      <x:c r="E85" s="26" t="str">
        <x:f t="shared" si="1"/>
      </x:c>
      <x:c r="F85" s="35"/>
      <x:c r="G85" s="35"/>
      <x:c r="H85" s="26" t="str">
        <x:f t="array" ref="H85">IF($G85="","",TEXTJOIN("",TRUE,MID($B85,MID($G85,SEQUENCE(LEN($G85),1),1)+0,1)))</x:f>
      </x:c>
      <x:c r="I85" s="26" t="str">
        <x:f t="shared" si="3"/>
      </x:c>
      <x:c r="J85" s="35"/>
    </x:row>
    <x:row r="86">
      <x:c r="A86" s="54">
        <x:v>77.0</x:v>
      </x:c>
      <x:c r="B86" s="54" t="s">
        <x:v>148</x:v>
      </x:c>
      <x:c r="C86" s="55" t="str">
        <x:f t="array" ref="C86">IFS(D86="","", D86="A","NW", D86="B","NE", D86="C","SW", D86="D","SE",D86="Omit", "")</x:f>
      </x:c>
      <x:c r="D86" s="70"/>
      <x:c r="E86" s="26" t="str">
        <x:f t="shared" si="1"/>
      </x:c>
      <x:c r="F86" s="35"/>
      <x:c r="G86" s="35"/>
      <x:c r="H86" s="26" t="str">
        <x:f t="array" ref="H86">IF($G86="","",TEXTJOIN("",TRUE,MID($B86,MID($G86,SEQUENCE(LEN($G86),1),1)+0,1)))</x:f>
      </x:c>
      <x:c r="I86" s="26" t="str">
        <x:f t="shared" si="3"/>
      </x:c>
      <x:c r="J86" s="35"/>
    </x:row>
    <x:row r="87">
      <x:c r="A87" s="54">
        <x:v>78.0</x:v>
      </x:c>
      <x:c r="B87" s="54" t="s">
        <x:v>152</x:v>
      </x:c>
      <x:c r="C87" s="55" t="str">
        <x:f t="array" ref="C87">IFS(D87="","", D87="A","SE", D87="B","NW", D87="C","NE", D87="D","SW",D87="Omit", "")</x:f>
      </x:c>
      <x:c r="D87" s="70"/>
      <x:c r="E87" s="26" t="str">
        <x:f t="shared" si="1"/>
      </x:c>
      <x:c r="F87" s="35"/>
      <x:c r="G87" s="35"/>
      <x:c r="H87" s="26" t="str">
        <x:f t="array" ref="H87">IF($G87="","",TEXTJOIN("",TRUE,MID($B87,MID($G87,SEQUENCE(LEN($G87),1),1)+0,1)))</x:f>
      </x:c>
      <x:c r="I87" s="26" t="str">
        <x:f t="shared" si="3"/>
      </x:c>
      <x:c r="J87" s="35"/>
    </x:row>
    <x:row r="88">
      <x:c r="A88" s="54">
        <x:v>79.0</x:v>
      </x:c>
      <x:c r="B88" s="54" t="s">
        <x:v>155</x:v>
      </x:c>
      <x:c r="C88" s="55" t="str">
        <x:f t="array" ref="C88">IFS(D88="","", D88="A","SW", D88="B","SE", D88="C","NW", D88="D","NE",D88="Omit", "")</x:f>
      </x:c>
      <x:c r="D88" s="70"/>
      <x:c r="E88" s="26" t="str">
        <x:f t="shared" si="1"/>
      </x:c>
      <x:c r="F88" s="35"/>
      <x:c r="G88" s="35"/>
      <x:c r="H88" s="26" t="str">
        <x:f t="array" ref="H88">IF($G88="","",TEXTJOIN("",TRUE,MID($B88,MID($G88,SEQUENCE(LEN($G88),1),1)+0,1)))</x:f>
      </x:c>
      <x:c r="I88" s="26" t="str">
        <x:f t="shared" si="3"/>
      </x:c>
      <x:c r="J88" s="35"/>
    </x:row>
    <x:row r="89">
      <x:c r="A89" s="54">
        <x:v>80.0</x:v>
      </x:c>
      <x:c r="B89" s="54" t="s">
        <x:v>157</x:v>
      </x:c>
      <x:c r="C89" s="55" t="str">
        <x:f t="array" ref="C89">IFS(D89="","", D89="A","NE", D89="B","SW", D89="C","SE", D89="D","NW",D89="Omit", "")</x:f>
      </x:c>
      <x:c r="D89" s="70"/>
      <x:c r="E89" s="26" t="str">
        <x:f t="shared" si="1"/>
      </x:c>
      <x:c r="F89" s="35"/>
      <x:c r="G89" s="35"/>
      <x:c r="H89" s="26" t="str">
        <x:f t="array" ref="H89">IF($G89="","",TEXTJOIN("",TRUE,MID($B89,MID($G89,SEQUENCE(LEN($G89),1),1)+0,1)))</x:f>
      </x:c>
      <x:c r="I89" s="26" t="str">
        <x:f t="shared" si="3"/>
      </x:c>
      <x:c r="J89" s="35"/>
    </x:row>
    <x:row r="90">
      <x:c r="A90" s="54">
        <x:v>81.0</x:v>
      </x:c>
      <x:c r="B90" s="54" t="s">
        <x:v>148</x:v>
      </x:c>
      <x:c r="C90" s="55" t="str">
        <x:f t="array" ref="C90">IFS(D90="","", D90="A","NW", D90="B","NE", D90="C","SW", D90="D","SE",D90="Omit", "")</x:f>
      </x:c>
      <x:c r="D90" s="70"/>
      <x:c r="E90" s="26" t="str">
        <x:f t="shared" si="1"/>
      </x:c>
      <x:c r="F90" s="35"/>
      <x:c r="G90" s="35"/>
      <x:c r="H90" s="26" t="str">
        <x:f t="array" ref="H90">IF($G90="","",TEXTJOIN("",TRUE,MID($B90,MID($G90,SEQUENCE(LEN($G90),1),1)+0,1)))</x:f>
      </x:c>
      <x:c r="I90" s="26" t="str">
        <x:f t="shared" si="3"/>
      </x:c>
      <x:c r="J90" s="35"/>
    </x:row>
    <x:row r="91">
      <x:c r="A91" s="54">
        <x:v>82.0</x:v>
      </x:c>
      <x:c r="B91" s="54" t="s">
        <x:v>152</x:v>
      </x:c>
      <x:c r="C91" s="55" t="str">
        <x:f t="array" ref="C91">IFS(D91="","", D91="A","SE", D91="B","NW", D91="C","NE", D91="D","SW",D91="Omit", "")</x:f>
      </x:c>
      <x:c r="D91" s="70"/>
      <x:c r="E91" s="26" t="str">
        <x:f t="shared" si="1"/>
      </x:c>
      <x:c r="F91" s="35"/>
      <x:c r="G91" s="35"/>
      <x:c r="H91" s="26" t="str">
        <x:f t="array" ref="H91">IF($G91="","",TEXTJOIN("",TRUE,MID($B91,MID($G91,SEQUENCE(LEN($G91),1),1)+0,1)))</x:f>
      </x:c>
      <x:c r="I91" s="26" t="str">
        <x:f t="shared" si="3"/>
      </x:c>
      <x:c r="J91" s="35"/>
    </x:row>
    <x:row r="92">
      <x:c r="A92" s="54">
        <x:v>83.0</x:v>
      </x:c>
      <x:c r="B92" s="54" t="s">
        <x:v>155</x:v>
      </x:c>
      <x:c r="C92" s="55" t="str">
        <x:f t="array" ref="C92">IFS(D92="","", D92="A","SW", D92="B","SE", D92="C","NW", D92="D","NE",D92="Omit", "")</x:f>
      </x:c>
      <x:c r="D92" s="70"/>
      <x:c r="E92" s="26" t="str">
        <x:f t="shared" si="1"/>
      </x:c>
      <x:c r="F92" s="35"/>
      <x:c r="G92" s="35"/>
      <x:c r="H92" s="26" t="str">
        <x:f t="array" ref="H92">IF($G92="","",TEXTJOIN("",TRUE,MID($B92,MID($G92,SEQUENCE(LEN($G92),1),1)+0,1)))</x:f>
      </x:c>
      <x:c r="I92" s="26" t="str">
        <x:f t="shared" si="3"/>
      </x:c>
      <x:c r="J92" s="35"/>
    </x:row>
    <x:row r="93">
      <x:c r="A93" s="54">
        <x:v>84.0</x:v>
      </x:c>
      <x:c r="B93" s="54" t="s">
        <x:v>157</x:v>
      </x:c>
      <x:c r="C93" s="55" t="str">
        <x:f t="array" ref="C93">IFS(D93="","", D93="A","NE", D93="B","SW", D93="C","SE", D93="D","NW",D93="Omit", "")</x:f>
      </x:c>
      <x:c r="D93" s="70"/>
      <x:c r="E93" s="26" t="str">
        <x:f t="shared" si="1"/>
      </x:c>
      <x:c r="F93" s="35"/>
      <x:c r="G93" s="35"/>
      <x:c r="H93" s="26" t="str">
        <x:f t="array" ref="H93">IF($G93="","",TEXTJOIN("",TRUE,MID($B93,MID($G93,SEQUENCE(LEN($G93),1),1)+0,1)))</x:f>
      </x:c>
      <x:c r="I93" s="26" t="str">
        <x:f t="shared" si="3"/>
      </x:c>
      <x:c r="J93" s="35"/>
    </x:row>
    <x:row r="94">
      <x:c r="A94" s="54">
        <x:v>85.0</x:v>
      </x:c>
      <x:c r="B94" s="54" t="s">
        <x:v>148</x:v>
      </x:c>
      <x:c r="C94" s="55" t="str">
        <x:f t="array" ref="C94">IFS(D94="","", D94="A","NW", D94="B","NE", D94="C","SW", D94="D","SE",D94="Omit", "")</x:f>
      </x:c>
      <x:c r="D94" s="70"/>
      <x:c r="E94" s="26" t="str">
        <x:f t="shared" si="1"/>
      </x:c>
      <x:c r="F94" s="35"/>
      <x:c r="G94" s="35"/>
      <x:c r="H94" s="26" t="str">
        <x:f t="array" ref="H94">IF($G94="","",TEXTJOIN("",TRUE,MID($B94,MID($G94,SEQUENCE(LEN($G94),1),1)+0,1)))</x:f>
      </x:c>
      <x:c r="I94" s="26" t="str">
        <x:f t="shared" si="3"/>
      </x:c>
      <x:c r="J94" s="35"/>
    </x:row>
    <x:row r="95">
      <x:c r="A95" s="54">
        <x:v>86.0</x:v>
      </x:c>
      <x:c r="B95" s="54" t="s">
        <x:v>152</x:v>
      </x:c>
      <x:c r="C95" s="55" t="str">
        <x:f t="array" ref="C95">IFS(D95="","", D95="A","SE", D95="B","NW", D95="C","NE", D95="D","SW",D95="Omit", "")</x:f>
      </x:c>
      <x:c r="D95" s="70"/>
      <x:c r="E95" s="26" t="str">
        <x:f t="shared" si="1"/>
      </x:c>
      <x:c r="F95" s="35"/>
      <x:c r="G95" s="35"/>
      <x:c r="H95" s="26" t="str">
        <x:f t="array" ref="H95">IF($G95="","",TEXTJOIN("",TRUE,MID($B95,MID($G95,SEQUENCE(LEN($G95),1),1)+0,1)))</x:f>
      </x:c>
      <x:c r="I95" s="26" t="str">
        <x:f t="shared" si="3"/>
      </x:c>
      <x:c r="J95" s="35"/>
    </x:row>
    <x:row r="96">
      <x:c r="A96" s="54">
        <x:v>87.0</x:v>
      </x:c>
      <x:c r="B96" s="54" t="s">
        <x:v>155</x:v>
      </x:c>
      <x:c r="C96" s="55" t="str">
        <x:f t="array" ref="C96">IFS(D96="","", D96="A","SW", D96="B","SE", D96="C","NW", D96="D","NE",D96="Omit", "")</x:f>
      </x:c>
      <x:c r="D96" s="70"/>
      <x:c r="E96" s="26" t="str">
        <x:f t="shared" si="1"/>
      </x:c>
      <x:c r="F96" s="35"/>
      <x:c r="G96" s="35"/>
      <x:c r="H96" s="26" t="str">
        <x:f t="array" ref="H96">IF($G96="","",TEXTJOIN("",TRUE,MID($B96,MID($G96,SEQUENCE(LEN($G96),1),1)+0,1)))</x:f>
      </x:c>
      <x:c r="I96" s="26" t="str">
        <x:f t="shared" si="3"/>
      </x:c>
      <x:c r="J96" s="35"/>
    </x:row>
    <x:row r="97">
      <x:c r="A97" s="54">
        <x:v>88.0</x:v>
      </x:c>
      <x:c r="B97" s="54" t="s">
        <x:v>157</x:v>
      </x:c>
      <x:c r="C97" s="55" t="str">
        <x:f t="array" ref="C97">IFS(D97="","", D97="A","NE", D97="B","SW", D97="C","SE", D97="D","NW",D97="Omit", "")</x:f>
      </x:c>
      <x:c r="D97" s="70"/>
      <x:c r="E97" s="26" t="str">
        <x:f t="shared" si="1"/>
      </x:c>
      <x:c r="F97" s="35"/>
      <x:c r="G97" s="35"/>
      <x:c r="H97" s="26" t="str">
        <x:f t="array" ref="H97">IF($G97="","",TEXTJOIN("",TRUE,MID($B97,MID($G97,SEQUENCE(LEN($G97),1),1)+0,1)))</x:f>
      </x:c>
      <x:c r="I97" s="26" t="str">
        <x:f t="shared" si="3"/>
      </x:c>
      <x:c r="J97" s="35"/>
    </x:row>
    <x:row r="98">
      <x:c r="A98" s="54">
        <x:v>89.0</x:v>
      </x:c>
      <x:c r="B98" s="54" t="s">
        <x:v>148</x:v>
      </x:c>
      <x:c r="C98" s="55" t="str">
        <x:f t="array" ref="C98">IFS(D98="","", D98="A","NW", D98="B","NE", D98="C","SW", D98="D","SE",D98="Omit", "")</x:f>
      </x:c>
      <x:c r="D98" s="70"/>
      <x:c r="E98" s="26" t="str">
        <x:f t="shared" si="1"/>
      </x:c>
      <x:c r="F98" s="35"/>
      <x:c r="G98" s="35"/>
      <x:c r="H98" s="26" t="str">
        <x:f t="array" ref="H98">IF($G98="","",TEXTJOIN("",TRUE,MID($B98,MID($G98,SEQUENCE(LEN($G98),1),1)+0,1)))</x:f>
      </x:c>
      <x:c r="I98" s="26" t="str">
        <x:f t="shared" si="3"/>
      </x:c>
      <x:c r="J98" s="35"/>
    </x:row>
    <x:row r="99">
      <x:c r="A99" s="54">
        <x:v>90.0</x:v>
      </x:c>
      <x:c r="B99" s="54" t="s">
        <x:v>152</x:v>
      </x:c>
      <x:c r="C99" s="55" t="str">
        <x:f t="array" ref="C99">IFS(D99="","", D99="A","SE", D99="B","NW", D99="C","NE", D99="D","SW",D99="Omit", "")</x:f>
      </x:c>
      <x:c r="D99" s="70"/>
      <x:c r="E99" s="26" t="str">
        <x:f t="shared" si="1"/>
      </x:c>
      <x:c r="F99" s="35"/>
      <x:c r="G99" s="35"/>
      <x:c r="H99" s="26" t="str">
        <x:f t="array" ref="H99">IF($G99="","",TEXTJOIN("",TRUE,MID($B99,MID($G99,SEQUENCE(LEN($G99),1),1)+0,1)))</x:f>
      </x:c>
      <x:c r="I99" s="26" t="str">
        <x:f t="shared" si="3"/>
      </x:c>
      <x:c r="J99" s="35"/>
    </x:row>
    <x:row r="100">
      <x:c r="A100" s="54">
        <x:v>91.0</x:v>
      </x:c>
      <x:c r="B100" s="54" t="s">
        <x:v>155</x:v>
      </x:c>
      <x:c r="C100" s="55" t="str">
        <x:f t="array" ref="C100">IFS(D100="","", D100="A","NW", D100="B","NE", D100="C","SW", D100="D","SE",D100="Omit", "")</x:f>
      </x:c>
      <x:c r="D100" s="70"/>
      <x:c r="E100" s="26" t="str">
        <x:f t="shared" si="1"/>
      </x:c>
      <x:c r="F100" s="35"/>
      <x:c r="G100" s="35"/>
      <x:c r="H100" s="26" t="str">
        <x:f t="array" ref="H100">IF($G100="","",TEXTJOIN("",TRUE,MID($B100,MID($G100,SEQUENCE(LEN($G100),1),1)+0,1)))</x:f>
      </x:c>
      <x:c r="I100" s="26" t="str">
        <x:f t="shared" si="3"/>
      </x:c>
      <x:c r="J100" s="35"/>
    </x:row>
    <x:row r="101">
      <x:c r="A101" s="54">
        <x:v>92.0</x:v>
      </x:c>
      <x:c r="B101" s="54" t="s">
        <x:v>157</x:v>
      </x:c>
      <x:c r="C101" s="55" t="str">
        <x:f t="array" ref="C101">IFS(D101="","", D101="A","SE", D101="B","NW", D101="C","NE", D101="D","SW",D101="Omit", "")</x:f>
      </x:c>
      <x:c r="D101" s="70"/>
      <x:c r="E101" s="26" t="str">
        <x:f t="shared" si="1"/>
      </x:c>
      <x:c r="F101" s="35"/>
      <x:c r="G101" s="35"/>
      <x:c r="H101" s="26" t="str">
        <x:f t="array" ref="H101">IF($G101="","",TEXTJOIN("",TRUE,MID($B101,MID($G101,SEQUENCE(LEN($G101),1),1)+0,1)))</x:f>
      </x:c>
      <x:c r="I101" s="26" t="str">
        <x:f t="shared" si="3"/>
      </x:c>
      <x:c r="J101" s="35"/>
    </x:row>
    <x:row r="102">
      <x:c r="A102" s="54">
        <x:v>93.0</x:v>
      </x:c>
      <x:c r="B102" s="54" t="s">
        <x:v>148</x:v>
      </x:c>
      <x:c r="C102" s="55" t="str">
        <x:f t="array" ref="C102">IFS(D102="","", D102="A","SW", D102="B","SE", D102="C","NW", D102="D","NE",D102="Omit", "")</x:f>
      </x:c>
      <x:c r="D102" s="70"/>
      <x:c r="E102" s="26" t="str">
        <x:f t="shared" si="1"/>
      </x:c>
      <x:c r="F102" s="35"/>
      <x:c r="G102" s="35"/>
      <x:c r="H102" s="26" t="str">
        <x:f t="array" ref="H102">IF($G102="","",TEXTJOIN("",TRUE,MID($B102,MID($G102,SEQUENCE(LEN($G102),1),1)+0,1)))</x:f>
      </x:c>
      <x:c r="I102" s="26" t="str">
        <x:f t="shared" si="3"/>
      </x:c>
      <x:c r="J102" s="35"/>
    </x:row>
    <x:row r="103">
      <x:c r="A103" s="54">
        <x:v>94.0</x:v>
      </x:c>
      <x:c r="B103" s="54" t="s">
        <x:v>152</x:v>
      </x:c>
      <x:c r="C103" s="55" t="str">
        <x:f t="array" ref="C103">IFS(D103="","", D103="A","NE", D103="B","SW", D103="C","SE", D103="D","NW",D103="Omit", "")</x:f>
      </x:c>
      <x:c r="D103" s="70"/>
      <x:c r="E103" s="26" t="str">
        <x:f t="shared" si="1"/>
      </x:c>
      <x:c r="F103" s="35"/>
      <x:c r="G103" s="35"/>
      <x:c r="H103" s="26" t="str">
        <x:f t="array" ref="H103">IF($G103="","",TEXTJOIN("",TRUE,MID($B103,MID($G103,SEQUENCE(LEN($G103),1),1)+0,1)))</x:f>
      </x:c>
      <x:c r="I103" s="26" t="str">
        <x:f t="shared" si="3"/>
      </x:c>
      <x:c r="J103" s="35"/>
    </x:row>
    <x:row r="104">
      <x:c r="A104" s="54">
        <x:v>95.0</x:v>
      </x:c>
      <x:c r="B104" s="54" t="s">
        <x:v>155</x:v>
      </x:c>
      <x:c r="C104" s="55" t="str">
        <x:f t="array" ref="C104">IFS(D104="","", D104="A","NW", D104="B","NE", D104="C","SW", D104="D","SE",D104="Omit", "")</x:f>
      </x:c>
      <x:c r="D104" s="70"/>
      <x:c r="E104" s="26" t="str">
        <x:f t="shared" si="1"/>
      </x:c>
      <x:c r="F104" s="35"/>
      <x:c r="G104" s="35"/>
      <x:c r="H104" s="26" t="str">
        <x:f t="array" ref="H104">IF($G104="","",TEXTJOIN("",TRUE,MID($B104,MID($G104,SEQUENCE(LEN($G104),1),1)+0,1)))</x:f>
      </x:c>
      <x:c r="I104" s="26" t="str">
        <x:f t="shared" si="3"/>
      </x:c>
      <x:c r="J104" s="35"/>
    </x:row>
    <x:row r="105">
      <x:c r="A105" s="54">
        <x:v>96.0</x:v>
      </x:c>
      <x:c r="B105" s="54" t="s">
        <x:v>157</x:v>
      </x:c>
      <x:c r="C105" s="55" t="str">
        <x:f t="array" ref="C105">IFS(D105="","", D105="A","SE", D105="B","NW", D105="C","NE", D105="D","SW",D105="Omit", "")</x:f>
      </x:c>
      <x:c r="D105" s="70"/>
      <x:c r="E105" s="26" t="str">
        <x:f t="shared" si="1"/>
      </x:c>
      <x:c r="F105" s="35"/>
      <x:c r="G105" s="35"/>
      <x:c r="H105" s="26" t="str">
        <x:f t="array" ref="H105">IF($G105="","",TEXTJOIN("",TRUE,MID($B105,MID($G105,SEQUENCE(LEN($G105),1),1)+0,1)))</x:f>
      </x:c>
      <x:c r="I105" s="26" t="str">
        <x:f t="shared" si="3"/>
      </x:c>
      <x:c r="J105" s="35"/>
    </x:row>
    <x:row r="106">
      <x:c r="A106" s="54">
        <x:v>97.0</x:v>
      </x:c>
      <x:c r="B106" s="54" t="s">
        <x:v>148</x:v>
      </x:c>
      <x:c r="C106" s="55" t="str">
        <x:f t="array" ref="C106">IFS(D106="","", D106="A","SW", D106="B","SE", D106="C","NW", D106="D","NE",D106="Omit", "")</x:f>
      </x:c>
      <x:c r="D106" s="70"/>
      <x:c r="E106" s="26" t="str">
        <x:f t="shared" si="1"/>
      </x:c>
      <x:c r="F106" s="35"/>
      <x:c r="G106" s="35"/>
      <x:c r="H106" s="26" t="str">
        <x:f t="array" ref="H106">IF($G106="","",TEXTJOIN("",TRUE,MID($B106,MID($G106,SEQUENCE(LEN($G106),1),1)+0,1)))</x:f>
      </x:c>
      <x:c r="I106" s="26" t="str">
        <x:f t="shared" si="3"/>
      </x:c>
      <x:c r="J106" s="35"/>
    </x:row>
    <x:row r="107">
      <x:c r="A107" s="54">
        <x:v>98.0</x:v>
      </x:c>
      <x:c r="B107" s="54" t="s">
        <x:v>152</x:v>
      </x:c>
      <x:c r="C107" s="55" t="str">
        <x:f t="array" ref="C107">IFS(D107="","", D107="A","NE", D107="B","SW", D107="C","SE", D107="D","NW",D107="Omit", "")</x:f>
      </x:c>
      <x:c r="D107" s="70"/>
      <x:c r="E107" s="26" t="str">
        <x:f t="shared" si="1"/>
      </x:c>
      <x:c r="F107" s="35"/>
      <x:c r="G107" s="35"/>
      <x:c r="H107" s="26" t="str">
        <x:f t="array" ref="H107">IF($G107="","",TEXTJOIN("",TRUE,MID($B107,MID($G107,SEQUENCE(LEN($G107),1),1)+0,1)))</x:f>
      </x:c>
      <x:c r="I107" s="26" t="str">
        <x:f t="shared" si="3"/>
      </x:c>
      <x:c r="J107" s="35"/>
    </x:row>
    <x:row r="108">
      <x:c r="A108" s="54">
        <x:v>99.0</x:v>
      </x:c>
      <x:c r="B108" s="54" t="s">
        <x:v>155</x:v>
      </x:c>
      <x:c r="C108" s="55" t="str">
        <x:f t="array" ref="C108">IFS(D108="","", D108="A","NW", D108="B","NE", D108="C","SW", D108="D","SE",D108="Omit", "")</x:f>
      </x:c>
      <x:c r="D108" s="70"/>
      <x:c r="E108" s="26" t="str">
        <x:f t="shared" si="1"/>
      </x:c>
      <x:c r="F108" s="35"/>
      <x:c r="G108" s="35"/>
      <x:c r="H108" s="26" t="str">
        <x:f t="array" ref="H108">IF($G108="","",TEXTJOIN("",TRUE,MID($B108,MID($G108,SEQUENCE(LEN($G108),1),1)+0,1)))</x:f>
      </x:c>
      <x:c r="I108" s="26" t="str">
        <x:f t="shared" si="3"/>
      </x:c>
      <x:c r="J108" s="35"/>
    </x:row>
    <x:row r="109">
      <x:c r="A109" s="54">
        <x:v>100.0</x:v>
      </x:c>
      <x:c r="B109" s="54" t="s">
        <x:v>157</x:v>
      </x:c>
      <x:c r="C109" s="55" t="str">
        <x:f t="array" ref="C109">IFS(D109="","", D109="A","SE", D109="B","NW", D109="C","NE", D109="D","SW",D109="Omit", "")</x:f>
      </x:c>
      <x:c r="D109" s="70"/>
      <x:c r="E109" s="26" t="str">
        <x:f t="shared" si="1"/>
      </x:c>
      <x:c r="F109" s="35"/>
      <x:c r="G109" s="35"/>
      <x:c r="H109" s="26" t="str">
        <x:f t="array" ref="H109">IF($G109="","",TEXTJOIN("",TRUE,MID($B109,MID($G109,SEQUENCE(LEN($G109),1),1)+0,1)))</x:f>
      </x:c>
      <x:c r="I109" s="26" t="str">
        <x:f t="shared" si="3"/>
      </x:c>
      <x:c r="J109" s="35"/>
    </x:row>
    <x:row r="110">
      <x:c r="A110" s="54">
        <x:v>101.0</x:v>
      </x:c>
      <x:c r="B110" s="54" t="s">
        <x:v>148</x:v>
      </x:c>
      <x:c r="C110" s="55" t="str">
        <x:f t="array" ref="C110">IFS(D110="","", D110="A","SW", D110="B","SE", D110="C","NW", D110="D","NE",D110="Omit", "")</x:f>
      </x:c>
      <x:c r="D110" s="70"/>
      <x:c r="E110" s="26" t="str">
        <x:f t="shared" si="1"/>
      </x:c>
      <x:c r="F110" s="35"/>
      <x:c r="G110" s="35"/>
      <x:c r="H110" s="26" t="str">
        <x:f t="array" ref="H110">IF($G110="","",TEXTJOIN("",TRUE,MID($B110,MID($G110,SEQUENCE(LEN($G110),1),1)+0,1)))</x:f>
      </x:c>
      <x:c r="I110" s="26" t="str">
        <x:f t="shared" si="3"/>
      </x:c>
      <x:c r="J110" s="35"/>
    </x:row>
    <x:row r="111">
      <x:c r="A111" s="54">
        <x:v>102.0</x:v>
      </x:c>
      <x:c r="B111" s="54" t="s">
        <x:v>152</x:v>
      </x:c>
      <x:c r="C111" s="55" t="str">
        <x:f t="array" ref="C111">IFS(D111="","", D111="A","NE", D111="B","SW", D111="C","SE", D111="D","NW",D111="Omit", "")</x:f>
      </x:c>
      <x:c r="D111" s="70"/>
      <x:c r="E111" s="26" t="str">
        <x:f t="shared" si="1"/>
      </x:c>
      <x:c r="F111" s="35"/>
      <x:c r="G111" s="35"/>
      <x:c r="H111" s="26" t="str">
        <x:f t="array" ref="H111">IF($G111="","",TEXTJOIN("",TRUE,MID($B111,MID($G111,SEQUENCE(LEN($G111),1),1)+0,1)))</x:f>
      </x:c>
      <x:c r="I111" s="26" t="str">
        <x:f t="shared" si="3"/>
      </x:c>
      <x:c r="J111" s="35"/>
    </x:row>
    <x:row r="112">
      <x:c r="A112" s="54">
        <x:v>103.0</x:v>
      </x:c>
      <x:c r="B112" s="54" t="s">
        <x:v>155</x:v>
      </x:c>
      <x:c r="C112" s="55" t="str">
        <x:f t="array" ref="C112">IFS(D112="","", D112="A","NW", D112="B","NE", D112="C","SW", D112="D","SE",D112="Omit", "")</x:f>
      </x:c>
      <x:c r="D112" s="70"/>
      <x:c r="E112" s="26" t="str">
        <x:f t="shared" si="1"/>
      </x:c>
      <x:c r="F112" s="35"/>
      <x:c r="G112" s="35"/>
      <x:c r="H112" s="26" t="str">
        <x:f t="array" ref="H112">IF($G112="","",TEXTJOIN("",TRUE,MID($B112,MID($G112,SEQUENCE(LEN($G112),1),1)+0,1)))</x:f>
      </x:c>
      <x:c r="I112" s="26" t="str">
        <x:f t="shared" si="3"/>
      </x:c>
      <x:c r="J112" s="35"/>
    </x:row>
    <x:row r="113">
      <x:c r="A113" s="54">
        <x:v>104.0</x:v>
      </x:c>
      <x:c r="B113" s="54" t="s">
        <x:v>157</x:v>
      </x:c>
      <x:c r="C113" s="55" t="str">
        <x:f t="array" ref="C113">IFS(D113="","", D113="A","SE", D113="B","NW", D113="C","NE", D113="D","SW",D113="Omit", "")</x:f>
      </x:c>
      <x:c r="D113" s="70"/>
      <x:c r="E113" s="26" t="str">
        <x:f t="shared" si="1"/>
      </x:c>
      <x:c r="F113" s="35"/>
      <x:c r="G113" s="35"/>
      <x:c r="H113" s="26" t="str">
        <x:f t="array" ref="H113">IF($G113="","",TEXTJOIN("",TRUE,MID($B113,MID($G113,SEQUENCE(LEN($G113),1),1)+0,1)))</x:f>
      </x:c>
      <x:c r="I113" s="26" t="str">
        <x:f t="shared" si="3"/>
      </x:c>
      <x:c r="J113" s="35"/>
    </x:row>
    <x:row r="114">
      <x:c r="A114" s="54">
        <x:v>105.0</x:v>
      </x:c>
      <x:c r="B114" s="54" t="s">
        <x:v>148</x:v>
      </x:c>
      <x:c r="C114" s="55" t="str">
        <x:f t="array" ref="C114">IFS(D114="","", D114="A","SW", D114="B","SE", D114="C","NW", D114="D","NE",D114="Omit", "")</x:f>
      </x:c>
      <x:c r="D114" s="70"/>
      <x:c r="E114" s="26" t="str">
        <x:f t="shared" si="1"/>
      </x:c>
      <x:c r="F114" s="35"/>
      <x:c r="G114" s="35"/>
      <x:c r="H114" s="26" t="str">
        <x:f t="array" ref="H114">IF($G114="","",TEXTJOIN("",TRUE,MID($B114,MID($G114,SEQUENCE(LEN($G114),1),1)+0,1)))</x:f>
      </x:c>
      <x:c r="I114" s="26" t="str">
        <x:f t="shared" si="3"/>
      </x:c>
      <x:c r="J114" s="35"/>
    </x:row>
    <x:row r="115">
      <x:c r="A115" s="54">
        <x:v>106.0</x:v>
      </x:c>
      <x:c r="B115" s="54" t="s">
        <x:v>152</x:v>
      </x:c>
      <x:c r="C115" s="55" t="str">
        <x:f t="array" ref="C115">IFS(D115="","", D115="A","NE", D115="B","SW", D115="C","SE", D115="D","NW",D115="Omit", "")</x:f>
      </x:c>
      <x:c r="D115" s="70"/>
      <x:c r="E115" s="26" t="str">
        <x:f t="shared" si="1"/>
      </x:c>
      <x:c r="F115" s="35"/>
      <x:c r="G115" s="35"/>
      <x:c r="H115" s="26" t="str">
        <x:f t="array" ref="H115">IF($G115="","",TEXTJOIN("",TRUE,MID($B115,MID($G115,SEQUENCE(LEN($G115),1),1)+0,1)))</x:f>
      </x:c>
      <x:c r="I115" s="26" t="str">
        <x:f t="shared" si="3"/>
      </x:c>
      <x:c r="J115" s="35"/>
    </x:row>
    <x:row r="116">
      <x:c r="A116" s="54">
        <x:v>107.0</x:v>
      </x:c>
      <x:c r="B116" s="54" t="s">
        <x:v>155</x:v>
      </x:c>
      <x:c r="C116" s="55" t="str">
        <x:f t="array" ref="C116">IFS(D116="","", D116="A","NW", D116="B","NE", D116="C","SW", D116="D","SE",D116="Omit", "")</x:f>
      </x:c>
      <x:c r="D116" s="70"/>
      <x:c r="E116" s="26" t="str">
        <x:f t="shared" si="1"/>
      </x:c>
      <x:c r="F116" s="35"/>
      <x:c r="G116" s="35"/>
      <x:c r="H116" s="26" t="str">
        <x:f t="array" ref="H116">IF($G116="","",TEXTJOIN("",TRUE,MID($B116,MID($G116,SEQUENCE(LEN($G116),1),1)+0,1)))</x:f>
      </x:c>
      <x:c r="I116" s="26" t="str">
        <x:f t="shared" si="3"/>
      </x:c>
      <x:c r="J116" s="35"/>
    </x:row>
    <x:row r="117">
      <x:c r="A117" s="54">
        <x:v>108.0</x:v>
      </x:c>
      <x:c r="B117" s="54" t="s">
        <x:v>157</x:v>
      </x:c>
      <x:c r="C117" s="55" t="str">
        <x:f t="array" ref="C117">IFS(D117="","", D117="A","SE", D117="B","NW", D117="C","NE", D117="D","SW",D117="Omit", "")</x:f>
      </x:c>
      <x:c r="D117" s="70"/>
      <x:c r="E117" s="26" t="str">
        <x:f t="shared" si="1"/>
      </x:c>
      <x:c r="F117" s="35"/>
      <x:c r="G117" s="35"/>
      <x:c r="H117" s="26" t="str">
        <x:f t="array" ref="H117">IF($G117="","",TEXTJOIN("",TRUE,MID($B117,MID($G117,SEQUENCE(LEN($G117),1),1)+0,1)))</x:f>
      </x:c>
      <x:c r="I117" s="26" t="str">
        <x:f t="shared" si="3"/>
      </x:c>
      <x:c r="J117" s="35"/>
    </x:row>
    <x:row r="118">
      <x:c r="A118" s="54">
        <x:v>109.0</x:v>
      </x:c>
      <x:c r="B118" s="54" t="s">
        <x:v>148</x:v>
      </x:c>
      <x:c r="C118" s="55" t="str">
        <x:f t="array" ref="C118">IFS(D118="","", D118="A","SW", D118="B","SE", D118="C","NW", D118="D","NE",D118="Omit", "")</x:f>
      </x:c>
      <x:c r="D118" s="70"/>
      <x:c r="E118" s="26" t="str">
        <x:f t="shared" si="1"/>
      </x:c>
      <x:c r="F118" s="35"/>
      <x:c r="G118" s="35"/>
      <x:c r="H118" s="26" t="str">
        <x:f t="array" ref="H118">IF($G118="","",TEXTJOIN("",TRUE,MID($B118,MID($G118,SEQUENCE(LEN($G118),1),1)+0,1)))</x:f>
      </x:c>
      <x:c r="I118" s="26" t="str">
        <x:f t="shared" si="3"/>
      </x:c>
      <x:c r="J118" s="35"/>
    </x:row>
    <x:row r="119">
      <x:c r="A119" s="54">
        <x:v>110.0</x:v>
      </x:c>
      <x:c r="B119" s="54" t="s">
        <x:v>152</x:v>
      </x:c>
      <x:c r="C119" s="55" t="str">
        <x:f t="array" ref="C119">IFS(D119="","", D119="A","NE", D119="B","SW", D119="C","SE", D119="D","NW",D119="Omit", "")</x:f>
      </x:c>
      <x:c r="D119" s="70"/>
      <x:c r="E119" s="26" t="str">
        <x:f t="shared" si="1"/>
      </x:c>
      <x:c r="F119" s="35"/>
      <x:c r="G119" s="35"/>
      <x:c r="H119" s="26" t="str">
        <x:f t="array" ref="H119">IF($G119="","",TEXTJOIN("",TRUE,MID($B119,MID($G119,SEQUENCE(LEN($G119),1),1)+0,1)))</x:f>
      </x:c>
      <x:c r="I119" s="26" t="str">
        <x:f t="shared" si="3"/>
      </x:c>
      <x:c r="J119" s="35"/>
    </x:row>
    <x:row r="120">
      <x:c r="A120" s="54">
        <x:v>111.0</x:v>
      </x:c>
      <x:c r="B120" s="54" t="s">
        <x:v>155</x:v>
      </x:c>
      <x:c r="C120" s="55" t="str">
        <x:f t="array" ref="C120">IFS(D120="","", D120="A","NW", D120="B","NE", D120="C","SW", D120="D","SE",D120="Omit", "")</x:f>
      </x:c>
      <x:c r="D120" s="70"/>
      <x:c r="E120" s="26" t="str">
        <x:f t="shared" si="1"/>
      </x:c>
      <x:c r="F120" s="35"/>
      <x:c r="G120" s="35"/>
      <x:c r="H120" s="26" t="str">
        <x:f t="array" ref="H120">IF($G120="","",TEXTJOIN("",TRUE,MID($B120,MID($G120,SEQUENCE(LEN($G120),1),1)+0,1)))</x:f>
      </x:c>
      <x:c r="I120" s="26" t="str">
        <x:f t="shared" si="3"/>
      </x:c>
      <x:c r="J120" s="35"/>
    </x:row>
    <x:row r="121">
      <x:c r="A121" s="54">
        <x:v>112.0</x:v>
      </x:c>
      <x:c r="B121" s="54" t="s">
        <x:v>157</x:v>
      </x:c>
      <x:c r="C121" s="55" t="str">
        <x:f t="array" ref="C121">IFS(D121="","", D121="A","SE", D121="B","NW", D121="C","NE", D121="D","SW",D121="Omit", "")</x:f>
      </x:c>
      <x:c r="D121" s="70"/>
      <x:c r="E121" s="26" t="str">
        <x:f t="shared" si="1"/>
      </x:c>
      <x:c r="F121" s="35"/>
      <x:c r="G121" s="35"/>
      <x:c r="H121" s="26" t="str">
        <x:f t="array" ref="H121">IF($G121="","",TEXTJOIN("",TRUE,MID($B121,MID($G121,SEQUENCE(LEN($G121),1),1)+0,1)))</x:f>
      </x:c>
      <x:c r="I121" s="26" t="str">
        <x:f t="shared" si="3"/>
      </x:c>
      <x:c r="J121" s="35"/>
    </x:row>
    <x:row r="122">
      <x:c r="A122" s="54">
        <x:v>113.0</x:v>
      </x:c>
      <x:c r="B122" s="54" t="s">
        <x:v>148</x:v>
      </x:c>
      <x:c r="C122" s="55" t="str">
        <x:f t="array" ref="C122">IFS(D122="","", D122="A","SW", D122="B","SE", D122="C","NW", D122="D","NE",D122="Omit", "")</x:f>
      </x:c>
      <x:c r="D122" s="70"/>
      <x:c r="E122" s="26" t="str">
        <x:f t="shared" si="1"/>
      </x:c>
      <x:c r="F122" s="35"/>
      <x:c r="G122" s="35"/>
      <x:c r="H122" s="26" t="str">
        <x:f t="array" ref="H122">IF($G122="","",TEXTJOIN("",TRUE,MID($B122,MID($G122,SEQUENCE(LEN($G122),1),1)+0,1)))</x:f>
      </x:c>
      <x:c r="I122" s="26" t="str">
        <x:f t="shared" si="3"/>
      </x:c>
      <x:c r="J122" s="35"/>
    </x:row>
    <x:row r="123">
      <x:c r="A123" s="54">
        <x:v>114.0</x:v>
      </x:c>
      <x:c r="B123" s="54" t="s">
        <x:v>152</x:v>
      </x:c>
      <x:c r="C123" s="55" t="str">
        <x:f t="array" ref="C123">IFS(D123="","", D123="A","NE", D123="B","SW", D123="C","SE", D123="D","NW",D123="Omit", "")</x:f>
      </x:c>
      <x:c r="D123" s="70"/>
      <x:c r="E123" s="26" t="str">
        <x:f t="shared" si="1"/>
      </x:c>
      <x:c r="F123" s="35"/>
      <x:c r="G123" s="35"/>
      <x:c r="H123" s="26" t="str">
        <x:f t="array" ref="H123">IF($G123="","",TEXTJOIN("",TRUE,MID($B123,MID($G123,SEQUENCE(LEN($G123),1),1)+0,1)))</x:f>
      </x:c>
      <x:c r="I123" s="26" t="str">
        <x:f t="shared" si="3"/>
      </x:c>
      <x:c r="J123" s="35"/>
    </x:row>
    <x:row r="124">
      <x:c r="A124" s="54">
        <x:v>115.0</x:v>
      </x:c>
      <x:c r="B124" s="54" t="s">
        <x:v>155</x:v>
      </x:c>
      <x:c r="C124" s="55" t="str">
        <x:f t="array" ref="C124">IFS(D124="","", D124="A","NW", D124="B","NE", D124="C","SW", D124="D","SE",D124="Omit", "")</x:f>
      </x:c>
      <x:c r="D124" s="70"/>
      <x:c r="E124" s="26" t="str">
        <x:f t="shared" si="1"/>
      </x:c>
      <x:c r="F124" s="35"/>
      <x:c r="G124" s="35"/>
      <x:c r="H124" s="26" t="str">
        <x:f t="array" ref="H124">IF($G124="","",TEXTJOIN("",TRUE,MID($B124,MID($G124,SEQUENCE(LEN($G124),1),1)+0,1)))</x:f>
      </x:c>
      <x:c r="I124" s="26" t="str">
        <x:f t="shared" si="3"/>
      </x:c>
      <x:c r="J124" s="35"/>
    </x:row>
    <x:row r="125">
      <x:c r="A125" s="54">
        <x:v>116.0</x:v>
      </x:c>
      <x:c r="B125" s="54" t="s">
        <x:v>157</x:v>
      </x:c>
      <x:c r="C125" s="55" t="str">
        <x:f t="array" ref="C125">IFS(D125="","", D125="A","SE", D125="B","NW", D125="C","NE", D125="D","SW",D125="Omit", "")</x:f>
      </x:c>
      <x:c r="D125" s="70"/>
      <x:c r="E125" s="26" t="str">
        <x:f t="shared" si="1"/>
      </x:c>
      <x:c r="F125" s="35"/>
      <x:c r="G125" s="35"/>
      <x:c r="H125" s="26" t="str">
        <x:f t="array" ref="H125">IF($G125="","",TEXTJOIN("",TRUE,MID($B125,MID($G125,SEQUENCE(LEN($G125),1),1)+0,1)))</x:f>
      </x:c>
      <x:c r="I125" s="26" t="str">
        <x:f t="shared" si="3"/>
      </x:c>
      <x:c r="J125" s="35"/>
    </x:row>
    <x:row r="126">
      <x:c r="A126" s="54">
        <x:v>117.0</x:v>
      </x:c>
      <x:c r="B126" s="54" t="s">
        <x:v>148</x:v>
      </x:c>
      <x:c r="C126" s="55" t="str">
        <x:f t="array" ref="C126">IFS(D126="","", D126="A","SW", D126="B","SE", D126="C","NW", D126="D","NE",D126="Omit", "")</x:f>
      </x:c>
      <x:c r="D126" s="70"/>
      <x:c r="E126" s="26" t="str">
        <x:f t="shared" si="1"/>
      </x:c>
      <x:c r="F126" s="35"/>
      <x:c r="G126" s="35"/>
      <x:c r="H126" s="26" t="str">
        <x:f t="array" ref="H126">IF($G126="","",TEXTJOIN("",TRUE,MID($B126,MID($G126,SEQUENCE(LEN($G126),1),1)+0,1)))</x:f>
      </x:c>
      <x:c r="I126" s="26" t="str">
        <x:f t="shared" si="3"/>
      </x:c>
      <x:c r="J126" s="35"/>
    </x:row>
    <x:row r="127">
      <x:c r="A127" s="54">
        <x:v>118.0</x:v>
      </x:c>
      <x:c r="B127" s="54" t="s">
        <x:v>152</x:v>
      </x:c>
      <x:c r="C127" s="55" t="str">
        <x:f t="array" ref="C127">IFS(D127="","", D127="A","NE", D127="B","SW", D127="C","SE", D127="D","NW",D127="Omit", "")</x:f>
      </x:c>
      <x:c r="D127" s="70"/>
      <x:c r="E127" s="26" t="str">
        <x:f t="shared" si="1"/>
      </x:c>
      <x:c r="F127" s="35"/>
      <x:c r="G127" s="35"/>
      <x:c r="H127" s="26" t="str">
        <x:f t="array" ref="H127">IF($G127="","",TEXTJOIN("",TRUE,MID($B127,MID($G127,SEQUENCE(LEN($G127),1),1)+0,1)))</x:f>
      </x:c>
      <x:c r="I127" s="26" t="str">
        <x:f t="shared" si="3"/>
      </x:c>
      <x:c r="J127" s="35"/>
    </x:row>
    <x:row r="128">
      <x:c r="A128" s="54">
        <x:v>119.0</x:v>
      </x:c>
      <x:c r="B128" s="54" t="s">
        <x:v>155</x:v>
      </x:c>
      <x:c r="C128" s="55" t="str">
        <x:f t="array" ref="C128">IFS(D128="","", D128="A","NW", D128="B","NE", D128="C","SW", D128="D","SE",D128="Omit", "")</x:f>
      </x:c>
      <x:c r="D128" s="70"/>
      <x:c r="E128" s="26" t="str">
        <x:f t="shared" si="1"/>
      </x:c>
      <x:c r="F128" s="35"/>
      <x:c r="G128" s="35"/>
      <x:c r="H128" s="26" t="str">
        <x:f t="array" ref="H128">IF($G128="","",TEXTJOIN("",TRUE,MID($B128,MID($G128,SEQUENCE(LEN($G128),1),1)+0,1)))</x:f>
      </x:c>
      <x:c r="I128" s="26" t="str">
        <x:f t="shared" si="3"/>
      </x:c>
      <x:c r="J128" s="35"/>
    </x:row>
    <x:row r="129">
      <x:c r="A129" s="54">
        <x:v>120.0</x:v>
      </x:c>
      <x:c r="B129" s="54" t="s">
        <x:v>157</x:v>
      </x:c>
      <x:c r="C129" s="55" t="str">
        <x:f t="array" ref="C129">IFS(D129="","", D129="A","SE", D129="B","NW", D129="C","NE", D129="D","SW",D129="Omit", "")</x:f>
      </x:c>
      <x:c r="D129" s="70"/>
      <x:c r="E129" s="26" t="str">
        <x:f t="shared" si="1"/>
      </x:c>
      <x:c r="F129" s="35"/>
      <x:c r="G129" s="35"/>
      <x:c r="H129" s="26" t="str">
        <x:f t="array" ref="H129">IF($G129="","",TEXTJOIN("",TRUE,MID($B129,MID($G129,SEQUENCE(LEN($G129),1),1)+0,1)))</x:f>
      </x:c>
      <x:c r="I129" s="26" t="str">
        <x:f t="shared" si="3"/>
      </x:c>
      <x:c r="J129" s="35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6" t="s">
        <x:v>199</x:v>
      </x:c>
      <x:c r="B1" s="2"/>
      <x:c r="C1" s="2"/>
      <x:c r="D1" s="2"/>
      <x:c r="E1" s="24"/>
      <x:c r="F1" s="24"/>
      <x:c r="G1" s="24"/>
      <x:c r="H1" s="24"/>
    </x:row>
    <x:row r="2">
      <x:c r="A2" s="4"/>
      <x:c r="B2" s="4"/>
      <x:c r="C2" s="4"/>
      <x:c r="D2" s="4"/>
      <x:c r="E2" s="24"/>
      <x:c r="F2" s="24"/>
      <x:c r="G2" s="24"/>
      <x:c r="H2" s="24"/>
    </x:row>
    <x:row r="3">
      <x:c r="A3" s="77"/>
      <x:c r="B3" s="77" t="s">
        <x:v>200</x:v>
      </x:c>
      <x:c r="C3" s="51" t="s">
        <x:v>201</x:v>
      </x:c>
      <x:c r="D3" s="51" t="s">
        <x:v>202</x:v>
      </x:c>
    </x:row>
    <x:row r="4">
      <x:c r="A4" s="78" t="s">
        <x:v>203</x:v>
      </x:c>
      <x:c r="B4" s="79" t="n">
        <x:f>COUNTA(DISC!D10:D129)</x:f>
        <x:v>11</x:v>
      </x:c>
      <x:c r="C4" s="26" t="n">
        <x:f>COUNTA(RECALL!D10:D129)</x:f>
        <x:v>10</x:v>
      </x:c>
      <x:c r="D4" s="79" t="n">
        <x:f>COUNTA(REV!D10:D129)</x:f>
        <x:v>30</x:v>
      </x:c>
    </x:row>
    <x:row r="5">
      <x:c r="A5" s="78" t="s">
        <x:v>204</x:v>
      </x:c>
      <x:c r="B5" s="79" t="n">
        <x:f>COUNTIF(DISC!E10:E129,"Correct")</x:f>
        <x:v>8</x:v>
      </x:c>
      <x:c r="C5" s="26" t="n">
        <x:f>COUNTIF(RECALL!E10:E129,"Correct")</x:f>
        <x:v>9</x:v>
      </x:c>
      <x:c r="D5" s="79" t="n">
        <x:f>COUNTIF(REV!E10:E129,"Correct")</x:f>
        <x:v>15</x:v>
      </x:c>
    </x:row>
    <x:row r="6">
      <x:c r="A6" s="78" t="s">
        <x:v>205</x:v>
      </x:c>
      <x:c r="B6" s="79" t="n">
        <x:f>COUNTIF(DISC!E10:E129,"Incorrect")</x:f>
        <x:v>3</x:v>
      </x:c>
      <x:c r="C6" s="26" t="n">
        <x:f>COUNTIF(RECALL!E10:E129,"Incorrect")</x:f>
        <x:v>1</x:v>
      </x:c>
      <x:c r="D6" s="79" t="n">
        <x:f>COUNTIF(REV!E10:E129,"Incorrect")</x:f>
        <x:v>15</x:v>
      </x:c>
    </x:row>
    <x:row r="7">
      <x:c r="A7" s="78" t="s">
        <x:v>206</x:v>
      </x:c>
      <x:c r="B7" s="79" t="n">
        <x:f>IF(COUNTIF(DISC!E10:E129,"Correct")=0,"",COUNTA(DISC!D10:D129)-MATCH("Correct",DISC!E10:E129,0))</x:f>
        <x:v>9</x:v>
      </x:c>
      <x:c r="C7" s="26" t="n">
        <x:f>IF(COUNTIF(RECALL!E10:E129,"Correct")=0,"",COUNTA(RECALL!D10:D129)-MATCH("Correct",RECALL!E10:E129,0))</x:f>
        <x:v>9</x:v>
      </x:c>
      <x:c r="D7" s="79" t="n">
        <x:f>IF(COUNTIF(REV!E10:E129,"Correct")=0,"",COUNTA(REV!D10:D129)-MATCH("Correct",REV!E10:E129,0))</x:f>
        <x:v>24</x:v>
      </x:c>
    </x:row>
    <x:row r="8">
      <x:c r="A8" s="78" t="s">
        <x:v>207</x:v>
      </x:c>
      <x:c r="B8" s="79" t="n">
        <x:f t="array" ref="B8">IF(COUNTIF(DISC!E10:E129,"Correct")=0,COUNTIF(DISC!E10:E129,"Incorrect"),COUNTIF(DISC!E10:INDEX(DISC!E10:E129,MATCH("Correct",DISC!E10:E129,0)),"Incorrect"))</x:f>
        <x:v>0</x:v>
      </x:c>
      <x:c r="C8" s="26" t="n">
        <x:f t="array" ref="C8">IF(COUNTIF(RECALL!E10:E129,"Correct")=0,COUNTIF(RECALL!E10:E129,"Incorrect"),COUNTIF(RECALL!E10:INDEX(RECALL!E10:E129,MATCH("Correct",RECALL!E10:E129,0)),"Incorrect"))</x:f>
        <x:v>0</x:v>
      </x:c>
      <x:c r="D8" s="79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78" t="s">
        <x:v>208</x:v>
      </x:c>
      <x:c r="B9" s="79" t="n">
        <x:f>IF(COUNTIF(DISC!E10:E129,"Correct")=0,"",COUNTIF(DISC!E10:E129,"Incorrect")-B8)</x:f>
        <x:v>3</x:v>
      </x:c>
      <x:c r="C9" s="26" t="n">
        <x:f>IF(COUNTIF(RECALL!E10:E129,"Correct")=0,"",COUNTIF(RECALL!E10:E129,"Incorrect")-C8)</x:f>
        <x:v>1</x:v>
      </x:c>
      <x:c r="D9" s="79" t="n">
        <x:f>IF(COUNTIF(REV!E10:E129,"Correct")=0,"",COUNTIF(REV!E10:E129,"Incorrect")-D8)</x:f>
        <x:v>15</x:v>
      </x:c>
    </x:row>
    <x:row r="10">
      <x:c r="A10" s="78" t="s">
        <x:v>209</x:v>
      </x:c>
      <x:c r="B10" s="79" t="n">
        <x:f>COUNTIF(DISC!D10:D129,"Omit")</x:f>
        <x:v>1</x:v>
      </x:c>
      <x:c r="C10" s="26" t="n">
        <x:f>COUNTIF(RECALL!D10:D129,"Omit")</x:f>
        <x:v>0</x:v>
      </x:c>
      <x:c r="D10" s="79" t="n">
        <x:f>COUNTIF(REV!D10:D129,"Omit")</x:f>
        <x:v>0</x:v>
      </x:c>
    </x:row>
    <x:row r="11">
      <x:c r="A11" s="78" t="s">
        <x:v>210</x:v>
      </x:c>
      <x:c r="B11" s="79" t="n">
        <x:f>SUM(DISC!F10:F129)</x:f>
        <x:v>626</x:v>
      </x:c>
      <x:c r="C11" s="79" t="n">
        <x:f>SUM(RECALL!F10:F129)</x:f>
        <x:v>508</x:v>
      </x:c>
      <x:c r="D11" s="79" t="n">
        <x:f>SUM(REV!F10:F129)</x:f>
        <x:v>471</x:v>
      </x:c>
    </x:row>
    <x:row r="12">
      <x:c r="A12" s="78" t="s">
        <x:v>211</x:v>
      </x:c>
      <x:c r="B12" s="80" t="n">
        <x:f>IFERROR(AVERAGE(DISC!F10:F129),"")</x:f>
        <x:v>56.90909090909091</x:v>
      </x:c>
      <x:c r="C12" s="26" t="n">
        <x:f>IFERROR(AVERAGE(RECALL!F10:F129),"")</x:f>
        <x:v>50.8</x:v>
      </x:c>
      <x:c r="D12" s="80" t="n">
        <x:f>IFERROR(AVERAGE(REV!F10:F129),"")</x:f>
        <x:v>15.7</x:v>
      </x:c>
    </x:row>
    <x:row r="13">
      <x:c r="A13" s="78" t="s">
        <x:v>212</x:v>
      </x:c>
      <x:c r="B13" s="80" t="n">
        <x:f>IFERROR(AVERAGEIF(DISC!E10:E129,"Correct",DISC!F10:F129),"")</x:f>
        <x:v>39.75</x:v>
      </x:c>
      <x:c r="C13" s="26" t="n">
        <x:f>IFERROR(AVERAGEIF(RECALL!E10:E129,"Correct",RECALL!F10:F129),"")</x:f>
        <x:v>54.55555555555556</x:v>
      </x:c>
      <x:c r="D13" s="80" t="n">
        <x:f>IFERROR(AVERAGEIF(REV!E10:E129,"Correct",REV!F10:F129),"")</x:f>
        <x:v>12.2</x:v>
      </x:c>
    </x:row>
    <x:row r="14">
      <x:c r="A14" s="78" t="s">
        <x:v>213</x:v>
      </x:c>
      <x:c r="B14" s="80" t="n">
        <x:f>IFERROR(AVERAGEIF(DISC!E10:E129,"Incorrect",DISC!F10:F129),"")</x:f>
        <x:v>102.66666666666667</x:v>
      </x:c>
      <x:c r="C14" s="26" t="n">
        <x:f>IFERROR(AVERAGEIF(RECALL!E10:E129,"Incorrect",RECALL!F10:F129),"")</x:f>
        <x:v>17</x:v>
      </x:c>
      <x:c r="D14" s="80" t="n">
        <x:f>IFERROR(AVERAGEIF(REV!E10:E129,"Incorrect",REV!F10:F129),"")</x:f>
        <x:v>19.2</x:v>
      </x:c>
    </x:row>
    <x:row r="15">
      <x:c r="A15" s="78" t="s">
        <x:v>214</x:v>
      </x:c>
      <x:c r="B15" s="79" t="n">
        <x:f t="array" ref="B15">SUMPRODUCT((DISC!D11:D129&lt;&gt;"")*(DISC!D10:D128&lt;&gt;"")*(DISC!D11:D129=DISC!D10:D128))</x:f>
        <x:v>5</x:v>
      </x:c>
      <x:c r="C15" s="26" t="n">
        <x:f t="array" ref="C15">SUMPRODUCT((RECALL!D11:D129&lt;&gt;"")*(RECALL!D10:D128&lt;&gt;"")*(RECALL!D11:D129=RECALL!D10:D128))</x:f>
        <x:v>7</x:v>
      </x:c>
      <x:c r="D15" s="79" t="n">
        <x:f t="array" ref="D15">SUMPRODUCT((REV!D11:D129&lt;&gt;"")*(REV!D10:D128&lt;&gt;"")*(REV!D11:D129=REV!D10:D128))</x:f>
        <x:v>17</x:v>
      </x:c>
    </x:row>
    <x:row r="16">
      <x:c r="A16" s="78" t="s">
        <x:v>215</x:v>
      </x:c>
      <x:c r="B16" s="79" t="n">
        <x:f t="array" ref="B16">SUMPRODUCT((DISC!C11:C129&lt;&gt;"")*(DISC!C10:C128&lt;&gt;"")*(DISC!C11:C129=DISC!C10:C128))</x:f>
        <x:v>2</x:v>
      </x:c>
      <x:c r="C16" s="26" t="n">
        <x:f t="array" ref="C16">SUMPRODUCT((RECALL!C11:C129&lt;&gt;"")*(RECALL!C10:C128&lt;&gt;"")*(RECALL!C11:C129=RECALL!C10:C128))</x:f>
        <x:v>1</x:v>
      </x:c>
      <x:c r="D16" s="79" t="n">
        <x:f t="array" ref="D16">SUMPRODUCT((REV!C11:C129&lt;&gt;"")*(REV!C10:C128&lt;&gt;"")*(REV!C11:C129=REV!C10:C128))</x:f>
        <x:v>6</x:v>
      </x:c>
    </x:row>
    <x:row r="17">
      <x:c r="A17" s="78" t="s">
        <x:v>216</x:v>
      </x:c>
      <x:c r="B17" s="79" t="e">
        <x:f t="array" ref="B17">SUMPRODUCT(LEN(DISC!$H$10:$H$129)-LEN(SUBSTITUTE(DISC!$H$10:$H$129,"A","")))</x:f>
        <x:v>#VALUE!</x:v>
      </x:c>
      <x:c r="C17" s="26" t="e">
        <x:f t="array" ref="C17">SUMPRODUCT(LEN(RECALL!$H$10:$H$129)-LEN(SUBSTITUTE(RECALL!$H$10:$H$129,"A","")))</x:f>
        <x:v>#VALUE!</x:v>
      </x:c>
      <x:c r="D17" s="79" t="e">
        <x:f t="array" ref="D17">SUMPRODUCT(LEN(REV!$H$10:$H$129)-LEN(SUBSTITUTE(REV!$H$10:$H$129,"A","")))</x:f>
        <x:v>#VALUE!</x:v>
      </x:c>
    </x:row>
    <x:row r="18">
      <x:c r="A18" s="78" t="s">
        <x:v>217</x:v>
      </x:c>
      <x:c r="B18" s="79" t="e">
        <x:f t="array" ref="B18">SUMPRODUCT(LEN(DISC!$H$10:$H$129)-LEN(SUBSTITUTE(DISC!$H$10:$H$129,"B","")))</x:f>
        <x:v>#VALUE!</x:v>
      </x:c>
      <x:c r="C18" s="26" t="e">
        <x:f t="array" ref="C18">SUMPRODUCT(LEN(RECALL!$H$10:$H$129)-LEN(SUBSTITUTE(RECALL!$H$10:$H$129,"B","")))</x:f>
        <x:v>#VALUE!</x:v>
      </x:c>
      <x:c r="D18" s="79" t="e">
        <x:f t="array" ref="D18">SUMPRODUCT(LEN(REV!$H$10:$H$129)-LEN(SUBSTITUTE(REV!$H$10:$H$129,"B","")))</x:f>
        <x:v>#VALUE!</x:v>
      </x:c>
    </x:row>
    <x:row r="19">
      <x:c r="A19" s="78" t="s">
        <x:v>218</x:v>
      </x:c>
      <x:c r="B19" s="79" t="e">
        <x:f t="array" ref="B19">SUMPRODUCT(LEN(DISC!$H$10:$H$129)-LEN(SUBSTITUTE(DISC!$H$10:$H$129,"C","")))</x:f>
        <x:v>#VALUE!</x:v>
      </x:c>
      <x:c r="C19" s="26" t="e">
        <x:f t="array" ref="C19">SUMPRODUCT(LEN(RECALL!$H$10:$H$129)-LEN(SUBSTITUTE(RECALL!$H$10:$H$129,"C","")))</x:f>
        <x:v>#VALUE!</x:v>
      </x:c>
      <x:c r="D19" s="79" t="e">
        <x:f t="array" ref="D19">SUMPRODUCT(LEN(REV!$H$10:$H$129)-LEN(SUBSTITUTE(REV!$H$10:$H$129,"C","")))</x:f>
        <x:v>#VALUE!</x:v>
      </x:c>
    </x:row>
    <x:row r="20">
      <x:c r="A20" s="78" t="s">
        <x:v>219</x:v>
      </x:c>
      <x:c r="B20" s="79" t="e">
        <x:f t="array" ref="B20">SUMPRODUCT(LEN(DISC!$H$10:$H$129)-LEN(SUBSTITUTE(DISC!$H$10:$H$129,"D","")))</x:f>
        <x:v>#VALUE!</x:v>
      </x:c>
      <x:c r="C20" s="26" t="e">
        <x:f t="array" ref="C20">SUMPRODUCT(LEN(RECALL!$H$10:$H$129)-LEN(SUBSTITUTE(RECALL!$H$10:$H$129,"D","")))</x:f>
        <x:v>#VALUE!</x:v>
      </x:c>
      <x:c r="D20" s="79" t="e">
        <x:f t="array" ref="D20">SUMPRODUCT(LEN(REV!$H$10:$H$129)-LEN(SUBSTITUTE(REV!$H$10:$H$129,"D","")))</x:f>
        <x:v>#VALUE!</x:v>
      </x:c>
    </x:row>
    <x:row r="21">
      <x:c r="A21" s="78" t="s">
        <x:v>220</x:v>
      </x:c>
      <x:c r="B21" s="79" t="n">
        <x:f t="array" ref="B21">SUMPRODUCT((DISC!$D$10:$D$129&lt;&gt;"")*(DISC!$H$10:$H$129&lt;&gt;"")*(LEFT(DISC!$H$10:$H$129,1)=DISC!$D$10:$D$129))</x:f>
        <x:v>0</x:v>
      </x:c>
      <x:c r="C21" s="26" t="n">
        <x:f t="array" ref="C21">SUMPRODUCT((RECALL!$D$10:$D$129&lt;&gt;"")*(RECALL!$H$10:$H$129&lt;&gt;"")*(LEFT(RECALL!$H$10:$H$129,1)=RECALL!$D$10:$D$129))</x:f>
        <x:v>0</x:v>
      </x:c>
      <x:c r="D21" s="79" t="n">
        <x:f t="array" ref="D21">SUMPRODUCT((REV!$D$10:$D$129&lt;&gt;"")*(REV!$H$10:$H$129&lt;&gt;"")*(LEFT(REV!$H$10:$H$129,1)=REV!$D$10:$D$129))</x:f>
        <x:v>0</x:v>
      </x:c>
    </x:row>
    <x:row r="22">
      <x:c r="A22" s="78" t="s">
        <x:v>221</x:v>
      </x:c>
      <x:c r="B22" s="80" t="str">
        <x:f t="array" ref="B22">IFERROR(SUMPRODUCT((DISC!$E$10:$E$129="Correct")*LEN(DISC!$G$10:$G$129))/COUNTIF(DISC!$E$10:$E$129,"Correct"),"")</x:f>
      </x:c>
      <x:c r="C22" s="26" t="str">
        <x:f t="array" ref="C22">IFERROR(SUMPRODUCT((RECALL!$E$10:$E$129="Correct")*LEN(RECALL!$G$10:$G$129))/COUNTIF(RECALL!$E$10:$E$129,"Correct"),"")</x:f>
      </x:c>
      <x:c r="D22" s="80" t="str">
        <x:f t="array" ref="D22">IFERROR(SUMPRODUCT((REV!$E$10:$E$129="Correct")*LEN(REV!$G$10:$G$129))/COUNTIF(REV!$E$10:$E$129,"Correct"),"")</x:f>
      </x:c>
    </x:row>
    <x:row r="23">
      <x:c r="A23" s="78" t="s">
        <x:v>222</x:v>
      </x:c>
      <x:c r="B23" s="80" t="str">
        <x:f t="array" ref="B23">IFERROR(SUMPRODUCT((DISC!$E$10:$E$129="Incorrect")*LEN(DISC!$G$10:$G$129))/COUNTIF(DISC!$E$10:$E$129,"Incorrect"),"")</x:f>
      </x:c>
      <x:c r="C23" s="26" t="str">
        <x:f t="array" ref="C23">IFERROR(SUMPRODUCT((RECALL!$E$10:$E$129="Incorrect")*LEN(RECALL!$G$10:$G$129))/COUNTIF(RECALL!$E$10:$E$129,"Incorrect"),"")</x:f>
      </x:c>
      <x:c r="D23" s="80" t="str">
        <x:f t="array" ref="D23">IFERROR(SUMPRODUCT((REV!$E$10:$E$129="Incorrect")*LEN(REV!$G$10:$G$129))/COUNTIF(REV!$E$10:$E$129,"Incorrect"),"")</x:f>
      </x:c>
    </x:row>
    <x:row r="24">
      <x:c r="A24" s="78" t="s">
        <x:v>223</x:v>
      </x:c>
      <x:c r="B24" s="80" t="str">
        <x:f t="array" ref="B24">IFERROR(SUMPRODUCT((DISC!$D$10:$D$129="Omit")*LEN(DISC!$G$10:$G$129))/COUNTIF(DISC!$D$10:$D$129,"Omit"),"")</x:f>
      </x:c>
      <x:c r="C24" s="26" t="str">
        <x:f t="array" ref="C24">IFERROR(SUMPRODUCT((RECALL!$D$10:$D$129="Omit")*LEN(RECALL!$G$10:$G$129))/COUNTIF(RECALL!$D$10:$D$129,"Omit"),"")</x:f>
      </x:c>
      <x:c r="D24" s="80" t="str">
        <x:f t="array" ref="D24">IFERROR(SUMPRODUCT((REV!$D$10:$D$129="Omit")*LEN(REV!$G$10:$G$129))/COUNTIF(REV!$D$10:$D$129,"Omit"),"")</x:f>
      </x:c>
    </x:row>
    <x:row r="25">
      <x:c r="A25" s="78" t="s">
        <x:v>224</x:v>
      </x:c>
      <x:c r="B25" s="81"/>
      <x:c r="C25" s="81"/>
      <x:c r="D25" s="79" t="n">
        <x:f>COUNTIF(REV!$I$10:$I$129,"Perseverative")+COUNTIF(REV!$I$10:$I$129,"Regressive")</x:f>
        <x:v>11</x:v>
      </x:c>
    </x:row>
    <x:row r="26">
      <x:c r="A26" s="78" t="s">
        <x:v>225</x:v>
      </x:c>
      <x:c r="B26" s="81"/>
      <x:c r="C26" s="81"/>
      <x:c r="D26" s="79" t="n">
        <x:f>COUNTIF(REV!$I$10:$I$129,"Perseverative")</x:f>
        <x:v>5</x:v>
      </x:c>
    </x:row>
    <x:row r="27">
      <x:c r="A27" s="78" t="s">
        <x:v>226</x:v>
      </x:c>
      <x:c r="B27" s="81"/>
      <x:c r="C27" s="81"/>
      <x:c r="D27" s="79" t="n">
        <x:f>COUNTIF(REV!$I$10:$I$129,"Regressive")</x:f>
        <x:v>6</x:v>
      </x:c>
    </x:row>
    <x:row r="28">
      <x:c r="A28" s="78" t="s">
        <x:v>227</x:v>
      </x:c>
      <x:c r="B28" s="81"/>
      <x:c r="C28" s="81"/>
      <x:c r="D28" s="79" t="n">
        <x:f>COUNTIF(REV!$I$10:$I$129,"Irrelevant")</x:f>
        <x:v>0</x:v>
      </x:c>
    </x:row>
    <x:row r="29">
      <x:c r="A29" s="78" t="s">
        <x:v>228</x:v>
      </x:c>
      <x:c r="B29" s="81"/>
      <x:c r="C29" s="81"/>
      <x:c r="D29" s="79" t="n">
        <x:f>COUNTIF(REV!$I$10:$I$129,"Novel")</x:f>
        <x:v>4</x:v>
      </x:c>
    </x:row>
    <x:row r="37">
      <x:c r="C37" s="82"/>
    </x:row>
    <x:row r="38">
      <x:c r="C38" s="82"/>
    </x:row>
    <x:row r="39">
      <x:c r="C39" s="82"/>
    </x:row>
    <x:row r="40">
      <x:c r="C40" s="82"/>
    </x:row>
    <x:row r="41">
      <x:c r="C41" s="82"/>
    </x:row>
    <x:row r="81">
      <x:c r="A81" s="83"/>
      <x:c r="B81" s="83"/>
    </x:row>
    <x:row r="82">
      <x:c r="A82" s="83"/>
      <x:c r="B82" s="83"/>
    </x:row>
    <x:row r="83">
      <x:c r="A83" s="83"/>
      <x:c r="B83" s="83"/>
    </x:row>
    <x:row r="84">
      <x:c r="A84" s="83"/>
      <x:c r="B84" s="83"/>
    </x:row>
    <x:row r="85">
      <x:c r="A85" s="83"/>
      <x:c r="B85" s="83"/>
    </x:row>
    <x:row r="86">
      <x:c r="A86" s="83"/>
      <x:c r="B86" s="83"/>
    </x:row>
    <x:row r="87">
      <x:c r="A87" s="83"/>
      <x:c r="B87" s="83"/>
    </x:row>
    <x:row r="88">
      <x:c r="A88" s="83"/>
      <x:c r="B88" s="83"/>
    </x:row>
    <x:row r="89">
      <x:c r="A89" s="83"/>
      <x:c r="B89" s="83"/>
    </x:row>
    <x:row r="90">
      <x:c r="A90" s="83"/>
      <x:c r="B90" s="83"/>
    </x:row>
    <x:row r="91">
      <x:c r="A91" s="83"/>
      <x:c r="B91" s="83"/>
    </x:row>
    <x:row r="92">
      <x:c r="A92" s="83"/>
      <x:c r="B92" s="83"/>
    </x:row>
    <x:row r="93">
      <x:c r="A93" s="83"/>
      <x:c r="B93" s="83"/>
    </x:row>
    <x:row r="94">
      <x:c r="A94" s="83"/>
      <x:c r="B94" s="83"/>
    </x:row>
    <x:row r="95">
      <x:c r="A95" s="83"/>
      <x:c r="B95" s="83"/>
    </x:row>
    <x:row r="96">
      <x:c r="A96" s="83"/>
      <x:c r="B96" s="83"/>
    </x:row>
    <x:row r="97">
      <x:c r="A97" s="83"/>
      <x:c r="B97" s="83"/>
    </x:row>
    <x:row r="98">
      <x:c r="A98" s="83"/>
      <x:c r="B98" s="83"/>
    </x:row>
    <x:row r="99">
      <x:c r="A99" s="83"/>
      <x:c r="B99" s="83"/>
    </x:row>
    <x:row r="100">
      <x:c r="A100" s="83"/>
      <x:c r="B100" s="83"/>
    </x:row>
    <x:row r="101">
      <x:c r="A101" s="83"/>
      <x:c r="B101" s="83"/>
    </x:row>
    <x:row r="102">
      <x:c r="A102" s="83"/>
      <x:c r="B102" s="83"/>
    </x:row>
    <x:row r="103">
      <x:c r="A103" s="83"/>
      <x:c r="B103" s="83"/>
    </x:row>
    <x:row r="104">
      <x:c r="A104" s="83"/>
      <x:c r="B104" s="83"/>
    </x:row>
    <x:row r="105">
      <x:c r="A105" s="83"/>
      <x:c r="B105" s="83"/>
    </x:row>
    <x:row r="106">
      <x:c r="A106" s="83"/>
      <x:c r="B106" s="83"/>
    </x:row>
    <x:row r="107">
      <x:c r="A107" s="83"/>
      <x:c r="B107" s="83"/>
    </x:row>
    <x:row r="108">
      <x:c r="A108" s="83"/>
      <x:c r="B108" s="83"/>
    </x:row>
    <x:row r="109">
      <x:c r="A109" s="83"/>
      <x:c r="B109" s="83"/>
    </x:row>
    <x:row r="110">
      <x:c r="A110" s="83"/>
      <x:c r="B110" s="83"/>
    </x:row>
    <x:row r="111">
      <x:c r="A111" s="83"/>
      <x:c r="B111" s="83"/>
    </x:row>
    <x:row r="112">
      <x:c r="A112" s="83"/>
      <x:c r="B112" s="83"/>
    </x:row>
    <x:row r="113">
      <x:c r="A113" s="83"/>
      <x:c r="B113" s="83"/>
    </x:row>
    <x:row r="114">
      <x:c r="A114" s="83"/>
      <x:c r="B114" s="83"/>
    </x:row>
    <x:row r="115">
      <x:c r="A115" s="83"/>
      <x:c r="B115" s="83"/>
    </x:row>
    <x:row r="116">
      <x:c r="A116" s="83"/>
      <x:c r="B116" s="83"/>
    </x:row>
    <x:row r="117">
      <x:c r="A117" s="83"/>
      <x:c r="B117" s="83"/>
    </x:row>
    <x:row r="118">
      <x:c r="A118" s="83"/>
      <x:c r="B118" s="83"/>
    </x:row>
    <x:row r="119">
      <x:c r="A119" s="83"/>
      <x:c r="B119" s="83"/>
    </x:row>
    <x:row r="120">
      <x:c r="A120" s="83"/>
      <x:c r="B120" s="83"/>
    </x:row>
    <x:row r="121">
      <x:c r="A121" s="83"/>
      <x:c r="B121" s="83"/>
    </x:row>
    <x:row r="122">
      <x:c r="A122" s="83"/>
      <x:c r="B122" s="83"/>
    </x:row>
    <x:row r="123">
      <x:c r="A123" s="83"/>
      <x:c r="B123" s="83"/>
    </x:row>
    <x:row r="124">
      <x:c r="A124" s="83"/>
      <x:c r="B124" s="83"/>
    </x:row>
    <x:row r="125">
      <x:c r="A125" s="83"/>
      <x:c r="B125" s="83"/>
    </x:row>
    <x:row r="126">
      <x:c r="A126" s="83"/>
      <x:c r="B126" s="83"/>
    </x:row>
    <x:row r="127">
      <x:c r="A127" s="83"/>
      <x:c r="B127" s="83"/>
    </x:row>
    <x:row r="128">
      <x:c r="A128" s="83"/>
      <x:c r="B128" s="83"/>
    </x:row>
    <x:row r="129">
      <x:c r="A129" s="83"/>
      <x:c r="B129" s="83"/>
    </x:row>
    <x:row r="130">
      <x:c r="A130" s="83"/>
      <x:c r="B130" s="83"/>
    </x:row>
    <x:row r="131">
      <x:c r="A131" s="83"/>
      <x:c r="B131" s="83"/>
    </x:row>
    <x:row r="132">
      <x:c r="A132" s="83"/>
      <x:c r="B132" s="83"/>
    </x:row>
    <x:row r="133">
      <x:c r="A133" s="83"/>
      <x:c r="B133" s="83"/>
    </x:row>
    <x:row r="134">
      <x:c r="A134" s="83"/>
      <x:c r="B134" s="83"/>
    </x:row>
    <x:row r="135">
      <x:c r="A135" s="83"/>
      <x:c r="B135" s="83"/>
    </x:row>
    <x:row r="136">
      <x:c r="A136" s="83"/>
      <x:c r="B136" s="83"/>
    </x:row>
    <x:row r="137">
      <x:c r="A137" s="83"/>
      <x:c r="B137" s="83"/>
    </x:row>
    <x:row r="138">
      <x:c r="A138" s="83"/>
      <x:c r="B138" s="83"/>
    </x:row>
    <x:row r="139">
      <x:c r="A139" s="83"/>
      <x:c r="B139" s="83"/>
    </x:row>
    <x:row r="140">
      <x:c r="A140" s="83"/>
      <x:c r="B140" s="83"/>
    </x:row>
    <x:row r="141">
      <x:c r="A141" s="83"/>
      <x:c r="B141" s="83"/>
    </x:row>
    <x:row r="142">
      <x:c r="A142" s="83"/>
      <x:c r="B142" s="83"/>
    </x:row>
    <x:row r="143">
      <x:c r="A143" s="83"/>
      <x:c r="B143" s="83"/>
    </x:row>
    <x:row r="144">
      <x:c r="A144" s="83"/>
      <x:c r="B144" s="83"/>
    </x:row>
    <x:row r="145">
      <x:c r="A145" s="83"/>
      <x:c r="B145" s="83"/>
    </x:row>
    <x:row r="146">
      <x:c r="A146" s="83"/>
      <x:c r="B146" s="83"/>
    </x:row>
    <x:row r="147">
      <x:c r="A147" s="83"/>
      <x:c r="B147" s="83"/>
    </x:row>
    <x:row r="148">
      <x:c r="A148" s="83"/>
      <x:c r="B148" s="83"/>
    </x:row>
    <x:row r="149">
      <x:c r="A149" s="83"/>
      <x:c r="B149" s="83"/>
    </x:row>
    <x:row r="150">
      <x:c r="A150" s="83"/>
      <x:c r="B150" s="83"/>
    </x:row>
    <x:row r="151">
      <x:c r="A151" s="83"/>
      <x:c r="B151" s="83"/>
    </x:row>
    <x:row r="152">
      <x:c r="A152" s="83"/>
      <x:c r="B152" s="83"/>
    </x:row>
    <x:row r="153">
      <x:c r="A153" s="83"/>
      <x:c r="B153" s="83"/>
    </x:row>
    <x:row r="154">
      <x:c r="A154" s="83"/>
      <x:c r="B154" s="83"/>
    </x:row>
    <x:row r="155">
      <x:c r="A155" s="83"/>
      <x:c r="B155" s="83"/>
    </x:row>
    <x:row r="156">
      <x:c r="A156" s="83"/>
      <x:c r="B156" s="83"/>
    </x:row>
    <x:row r="157">
      <x:c r="A157" s="83"/>
      <x:c r="B157" s="83"/>
    </x:row>
    <x:row r="158">
      <x:c r="A158" s="83"/>
      <x:c r="B158" s="83"/>
    </x:row>
    <x:row r="159">
      <x:c r="A159" s="83"/>
      <x:c r="B159" s="83"/>
    </x:row>
    <x:row r="160">
      <x:c r="A160" s="83"/>
      <x:c r="B160" s="83"/>
    </x:row>
    <x:row r="161">
      <x:c r="A161" s="83"/>
      <x:c r="B161" s="83"/>
    </x:row>
    <x:row r="162">
      <x:c r="A162" s="83"/>
      <x:c r="B162" s="83"/>
    </x:row>
    <x:row r="163">
      <x:c r="A163" s="83"/>
      <x:c r="B163" s="83"/>
    </x:row>
    <x:row r="164">
      <x:c r="A164" s="83"/>
      <x:c r="B164" s="83"/>
    </x:row>
    <x:row r="165">
      <x:c r="A165" s="83"/>
      <x:c r="B165" s="83"/>
    </x:row>
    <x:row r="166">
      <x:c r="A166" s="83"/>
      <x:c r="B166" s="83"/>
    </x:row>
    <x:row r="167">
      <x:c r="A167" s="83"/>
      <x:c r="B167" s="83"/>
    </x:row>
    <x:row r="168">
      <x:c r="A168" s="83"/>
      <x:c r="B168" s="83"/>
    </x:row>
    <x:row r="169">
      <x:c r="A169" s="83"/>
      <x:c r="B169" s="83"/>
    </x:row>
    <x:row r="170">
      <x:c r="A170" s="83"/>
      <x:c r="B170" s="83"/>
    </x:row>
    <x:row r="171">
      <x:c r="A171" s="83"/>
      <x:c r="B171" s="83"/>
    </x:row>
    <x:row r="172">
      <x:c r="A172" s="83"/>
      <x:c r="B172" s="83"/>
    </x:row>
    <x:row r="173">
      <x:c r="A173" s="83"/>
      <x:c r="B173" s="83"/>
    </x:row>
    <x:row r="174">
      <x:c r="A174" s="83"/>
      <x:c r="B174" s="83"/>
    </x:row>
    <x:row r="175">
      <x:c r="A175" s="83"/>
      <x:c r="B175" s="83"/>
    </x:row>
    <x:row r="176">
      <x:c r="A176" s="83"/>
      <x:c r="B176" s="83"/>
    </x:row>
    <x:row r="177">
      <x:c r="A177" s="83"/>
      <x:c r="B177" s="83"/>
    </x:row>
    <x:row r="178">
      <x:c r="A178" s="83"/>
      <x:c r="B178" s="83"/>
    </x:row>
    <x:row r="179">
      <x:c r="A179" s="83"/>
      <x:c r="B179" s="83"/>
    </x:row>
    <x:row r="180">
      <x:c r="A180" s="83"/>
      <x:c r="B180" s="83"/>
    </x:row>
    <x:row r="181">
      <x:c r="A181" s="83"/>
      <x:c r="B181" s="83"/>
    </x:row>
    <x:row r="182">
      <x:c r="A182" s="83"/>
      <x:c r="B182" s="83"/>
    </x:row>
    <x:row r="183">
      <x:c r="A183" s="83"/>
      <x:c r="B183" s="83"/>
    </x:row>
    <x:row r="184">
      <x:c r="A184" s="83"/>
      <x:c r="B184" s="83"/>
    </x:row>
    <x:row r="185">
      <x:c r="A185" s="83"/>
      <x:c r="B185" s="83"/>
    </x:row>
    <x:row r="186">
      <x:c r="A186" s="83"/>
      <x:c r="B186" s="83"/>
    </x:row>
    <x:row r="187">
      <x:c r="A187" s="83"/>
      <x:c r="B187" s="83"/>
    </x:row>
    <x:row r="188">
      <x:c r="A188" s="83"/>
      <x:c r="B188" s="83"/>
    </x:row>
    <x:row r="189">
      <x:c r="A189" s="83"/>
      <x:c r="B189" s="83"/>
    </x:row>
    <x:row r="190">
      <x:c r="A190" s="83"/>
      <x:c r="B190" s="83"/>
    </x:row>
    <x:row r="191">
      <x:c r="A191" s="83"/>
      <x:c r="B191" s="83"/>
    </x:row>
    <x:row r="192">
      <x:c r="A192" s="83"/>
      <x:c r="B192" s="83"/>
    </x:row>
    <x:row r="193">
      <x:c r="A193" s="83"/>
      <x:c r="B193" s="83"/>
    </x:row>
    <x:row r="194">
      <x:c r="A194" s="83"/>
      <x:c r="B194" s="83"/>
    </x:row>
    <x:row r="195">
      <x:c r="A195" s="83"/>
      <x:c r="B195" s="83"/>
    </x:row>
    <x:row r="196">
      <x:c r="A196" s="83"/>
      <x:c r="B196" s="83"/>
    </x:row>
    <x:row r="197">
      <x:c r="A197" s="83"/>
      <x:c r="B197" s="83"/>
    </x:row>
    <x:row r="198">
      <x:c r="A198" s="83"/>
      <x:c r="B198" s="83"/>
    </x:row>
    <x:row r="199">
      <x:c r="A199" s="83"/>
      <x:c r="B199" s="83"/>
    </x:row>
    <x:row r="200">
      <x:c r="A200" s="83"/>
      <x:c r="B200" s="83"/>
    </x:row>
    <x:row r="201">
      <x:c r="A201" s="83"/>
      <x:c r="B201" s="83"/>
    </x:row>
    <x:row r="202">
      <x:c r="A202" s="83"/>
      <x:c r="B202" s="83"/>
    </x:row>
    <x:row r="203">
      <x:c r="A203" s="83"/>
      <x:c r="B203" s="83"/>
    </x:row>
    <x:row r="204">
      <x:c r="A204" s="83"/>
      <x:c r="B204" s="83"/>
    </x:row>
    <x:row r="205">
      <x:c r="A205" s="83"/>
      <x:c r="B205" s="83"/>
    </x:row>
    <x:row r="206">
      <x:c r="A206" s="83"/>
      <x:c r="B206" s="83"/>
    </x:row>
    <x:row r="207">
      <x:c r="A207" s="83"/>
      <x:c r="B207" s="83"/>
    </x:row>
    <x:row r="208">
      <x:c r="A208" s="83"/>
      <x:c r="B208" s="83"/>
    </x:row>
    <x:row r="209">
      <x:c r="A209" s="83"/>
      <x:c r="B209" s="83"/>
    </x:row>
    <x:row r="210">
      <x:c r="A210" s="83"/>
      <x:c r="B210" s="83"/>
    </x:row>
    <x:row r="211">
      <x:c r="A211" s="83"/>
      <x:c r="B211" s="83"/>
    </x:row>
    <x:row r="212">
      <x:c r="A212" s="83"/>
      <x:c r="B212" s="83"/>
    </x:row>
    <x:row r="213">
      <x:c r="A213" s="83"/>
      <x:c r="B213" s="83"/>
    </x:row>
    <x:row r="214">
      <x:c r="A214" s="83"/>
      <x:c r="B214" s="83"/>
    </x:row>
    <x:row r="215">
      <x:c r="A215" s="83"/>
      <x:c r="B215" s="83"/>
    </x:row>
    <x:row r="216">
      <x:c r="A216" s="83"/>
      <x:c r="B216" s="83"/>
    </x:row>
    <x:row r="217">
      <x:c r="A217" s="83"/>
      <x:c r="B217" s="83"/>
    </x:row>
    <x:row r="218">
      <x:c r="A218" s="83"/>
      <x:c r="B218" s="83"/>
    </x:row>
    <x:row r="219">
      <x:c r="A219" s="83"/>
      <x:c r="B219" s="83"/>
    </x:row>
    <x:row r="220">
      <x:c r="A220" s="83"/>
      <x:c r="B220" s="83"/>
    </x:row>
    <x:row r="221">
      <x:c r="A221" s="83"/>
      <x:c r="B221" s="83"/>
    </x:row>
    <x:row r="222">
      <x:c r="A222" s="83"/>
      <x:c r="B222" s="83"/>
    </x:row>
    <x:row r="223">
      <x:c r="A223" s="83"/>
      <x:c r="B223" s="83"/>
    </x:row>
    <x:row r="224">
      <x:c r="A224" s="83"/>
      <x:c r="B224" s="83"/>
    </x:row>
    <x:row r="225">
      <x:c r="A225" s="83"/>
      <x:c r="B225" s="83"/>
    </x:row>
    <x:row r="226">
      <x:c r="A226" s="83"/>
      <x:c r="B226" s="83"/>
    </x:row>
    <x:row r="227">
      <x:c r="A227" s="83"/>
      <x:c r="B227" s="83"/>
    </x:row>
    <x:row r="228">
      <x:c r="A228" s="83"/>
      <x:c r="B228" s="83"/>
    </x:row>
    <x:row r="229">
      <x:c r="A229" s="83"/>
      <x:c r="B229" s="83"/>
    </x:row>
    <x:row r="230">
      <x:c r="A230" s="83"/>
      <x:c r="B230" s="83"/>
    </x:row>
    <x:row r="231">
      <x:c r="A231" s="83"/>
      <x:c r="B231" s="83"/>
    </x:row>
    <x:row r="232">
      <x:c r="A232" s="83"/>
      <x:c r="B232" s="83"/>
    </x:row>
    <x:row r="233">
      <x:c r="A233" s="83"/>
      <x:c r="B233" s="83"/>
    </x:row>
    <x:row r="234">
      <x:c r="A234" s="83"/>
      <x:c r="B234" s="83"/>
    </x:row>
    <x:row r="235">
      <x:c r="A235" s="83"/>
      <x:c r="B235" s="83"/>
    </x:row>
    <x:row r="236">
      <x:c r="A236" s="83"/>
      <x:c r="B236" s="83"/>
    </x:row>
    <x:row r="237">
      <x:c r="A237" s="83"/>
      <x:c r="B237" s="83"/>
    </x:row>
    <x:row r="238">
      <x:c r="A238" s="83"/>
      <x:c r="B238" s="83"/>
    </x:row>
    <x:row r="239">
      <x:c r="A239" s="83"/>
      <x:c r="B239" s="83"/>
    </x:row>
    <x:row r="240">
      <x:c r="A240" s="83"/>
      <x:c r="B240" s="83"/>
    </x:row>
    <x:row r="241">
      <x:c r="A241" s="83"/>
      <x:c r="B241" s="83"/>
    </x:row>
    <x:row r="242">
      <x:c r="A242" s="83"/>
      <x:c r="B242" s="83"/>
    </x:row>
    <x:row r="243">
      <x:c r="A243" s="83"/>
      <x:c r="B243" s="83"/>
    </x:row>
    <x:row r="244">
      <x:c r="A244" s="83"/>
      <x:c r="B244" s="83"/>
    </x:row>
    <x:row r="245">
      <x:c r="A245" s="83"/>
      <x:c r="B245" s="83"/>
    </x:row>
    <x:row r="246">
      <x:c r="A246" s="83"/>
      <x:c r="B246" s="83"/>
    </x:row>
    <x:row r="247">
      <x:c r="A247" s="83"/>
      <x:c r="B247" s="83"/>
    </x:row>
    <x:row r="248">
      <x:c r="A248" s="83"/>
      <x:c r="B248" s="83"/>
    </x:row>
    <x:row r="249">
      <x:c r="A249" s="83"/>
      <x:c r="B249" s="83"/>
    </x:row>
    <x:row r="250">
      <x:c r="A250" s="83"/>
      <x:c r="B250" s="83"/>
    </x:row>
    <x:row r="251">
      <x:c r="A251" s="83"/>
      <x:c r="B251" s="83"/>
    </x:row>
    <x:row r="252">
      <x:c r="A252" s="83"/>
      <x:c r="B252" s="83"/>
    </x:row>
    <x:row r="253">
      <x:c r="A253" s="83"/>
      <x:c r="B253" s="83"/>
    </x:row>
    <x:row r="254">
      <x:c r="A254" s="83"/>
      <x:c r="B254" s="83"/>
    </x:row>
    <x:row r="255">
      <x:c r="A255" s="83"/>
      <x:c r="B255" s="83"/>
    </x:row>
    <x:row r="256">
      <x:c r="A256" s="83"/>
      <x:c r="B256" s="83"/>
    </x:row>
    <x:row r="257">
      <x:c r="A257" s="83"/>
      <x:c r="B257" s="83"/>
    </x:row>
    <x:row r="258">
      <x:c r="A258" s="83"/>
      <x:c r="B258" s="83"/>
    </x:row>
    <x:row r="259">
      <x:c r="A259" s="83"/>
      <x:c r="B259" s="83"/>
    </x:row>
    <x:row r="260">
      <x:c r="A260" s="83"/>
      <x:c r="B260" s="83"/>
    </x:row>
    <x:row r="261">
      <x:c r="A261" s="83"/>
      <x:c r="B261" s="83"/>
    </x:row>
    <x:row r="262">
      <x:c r="A262" s="83"/>
      <x:c r="B262" s="83"/>
    </x:row>
    <x:row r="263">
      <x:c r="A263" s="83"/>
      <x:c r="B263" s="83"/>
    </x:row>
    <x:row r="264">
      <x:c r="A264" s="83"/>
      <x:c r="B264" s="83"/>
    </x:row>
    <x:row r="265">
      <x:c r="A265" s="83"/>
      <x:c r="B265" s="83"/>
    </x:row>
    <x:row r="266">
      <x:c r="A266" s="83"/>
      <x:c r="B266" s="83"/>
    </x:row>
    <x:row r="267">
      <x:c r="A267" s="83"/>
      <x:c r="B267" s="83"/>
    </x:row>
    <x:row r="268">
      <x:c r="A268" s="83"/>
      <x:c r="B268" s="83"/>
    </x:row>
    <x:row r="269">
      <x:c r="A269" s="83"/>
      <x:c r="B269" s="83"/>
    </x:row>
    <x:row r="270">
      <x:c r="A270" s="83"/>
      <x:c r="B270" s="83"/>
    </x:row>
    <x:row r="271">
      <x:c r="A271" s="83"/>
      <x:c r="B271" s="83"/>
    </x:row>
    <x:row r="272">
      <x:c r="A272" s="83"/>
      <x:c r="B272" s="83"/>
    </x:row>
    <x:row r="273">
      <x:c r="A273" s="83"/>
      <x:c r="B273" s="83"/>
    </x:row>
    <x:row r="274">
      <x:c r="A274" s="83"/>
      <x:c r="B274" s="83"/>
    </x:row>
    <x:row r="275">
      <x:c r="A275" s="83"/>
      <x:c r="B275" s="83"/>
    </x:row>
    <x:row r="276">
      <x:c r="A276" s="83"/>
      <x:c r="B276" s="83"/>
    </x:row>
    <x:row r="277">
      <x:c r="A277" s="83"/>
      <x:c r="B277" s="83"/>
    </x:row>
    <x:row r="278">
      <x:c r="A278" s="83"/>
      <x:c r="B278" s="83"/>
    </x:row>
    <x:row r="279">
      <x:c r="A279" s="83"/>
      <x:c r="B279" s="83"/>
    </x:row>
    <x:row r="280">
      <x:c r="A280" s="83"/>
      <x:c r="B280" s="83"/>
    </x:row>
    <x:row r="281">
      <x:c r="A281" s="83"/>
      <x:c r="B281" s="83"/>
    </x:row>
    <x:row r="282">
      <x:c r="A282" s="83"/>
      <x:c r="B282" s="83"/>
    </x:row>
    <x:row r="283">
      <x:c r="A283" s="83"/>
      <x:c r="B283" s="83"/>
    </x:row>
    <x:row r="284">
      <x:c r="A284" s="83"/>
      <x:c r="B284" s="83"/>
    </x:row>
    <x:row r="285">
      <x:c r="A285" s="83"/>
      <x:c r="B285" s="83"/>
    </x:row>
    <x:row r="286">
      <x:c r="A286" s="83"/>
      <x:c r="B286" s="83"/>
    </x:row>
    <x:row r="287">
      <x:c r="A287" s="83"/>
      <x:c r="B287" s="83"/>
    </x:row>
    <x:row r="288">
      <x:c r="A288" s="83"/>
      <x:c r="B288" s="83"/>
    </x:row>
    <x:row r="289">
      <x:c r="A289" s="83"/>
      <x:c r="B289" s="83"/>
    </x:row>
    <x:row r="290">
      <x:c r="A290" s="83"/>
      <x:c r="B290" s="83"/>
    </x:row>
    <x:row r="291">
      <x:c r="A291" s="83"/>
      <x:c r="B291" s="83"/>
    </x:row>
    <x:row r="292">
      <x:c r="A292" s="83"/>
      <x:c r="B292" s="83"/>
    </x:row>
    <x:row r="293">
      <x:c r="A293" s="83"/>
      <x:c r="B293" s="83"/>
    </x:row>
    <x:row r="294">
      <x:c r="A294" s="83"/>
      <x:c r="B294" s="83"/>
    </x:row>
    <x:row r="295">
      <x:c r="A295" s="83"/>
      <x:c r="B295" s="83"/>
    </x:row>
    <x:row r="296">
      <x:c r="A296" s="83"/>
      <x:c r="B296" s="83"/>
    </x:row>
    <x:row r="297">
      <x:c r="A297" s="83"/>
      <x:c r="B297" s="83"/>
    </x:row>
    <x:row r="298">
      <x:c r="A298" s="83"/>
      <x:c r="B298" s="83"/>
    </x:row>
    <x:row r="299">
      <x:c r="A299" s="83"/>
      <x:c r="B299" s="83"/>
    </x:row>
    <x:row r="300">
      <x:c r="A300" s="83"/>
      <x:c r="B300" s="83"/>
    </x:row>
    <x:row r="301">
      <x:c r="A301" s="83"/>
      <x:c r="B301" s="83"/>
    </x:row>
    <x:row r="302">
      <x:c r="A302" s="83"/>
      <x:c r="B302" s="83"/>
    </x:row>
    <x:row r="303">
      <x:c r="A303" s="83"/>
      <x:c r="B303" s="83"/>
    </x:row>
    <x:row r="304">
      <x:c r="A304" s="83"/>
      <x:c r="B304" s="83"/>
    </x:row>
    <x:row r="305">
      <x:c r="A305" s="83"/>
      <x:c r="B305" s="83"/>
    </x:row>
    <x:row r="306">
      <x:c r="A306" s="83"/>
      <x:c r="B306" s="83"/>
    </x:row>
    <x:row r="307">
      <x:c r="A307" s="83"/>
      <x:c r="B307" s="83"/>
    </x:row>
    <x:row r="308">
      <x:c r="A308" s="83"/>
      <x:c r="B308" s="83"/>
    </x:row>
    <x:row r="309">
      <x:c r="A309" s="83"/>
      <x:c r="B309" s="83"/>
    </x:row>
    <x:row r="310">
      <x:c r="A310" s="83"/>
      <x:c r="B310" s="83"/>
    </x:row>
    <x:row r="311">
      <x:c r="A311" s="83"/>
      <x:c r="B311" s="83"/>
    </x:row>
    <x:row r="312">
      <x:c r="A312" s="83"/>
      <x:c r="B312" s="83"/>
    </x:row>
    <x:row r="313">
      <x:c r="A313" s="83"/>
      <x:c r="B313" s="83"/>
    </x:row>
    <x:row r="314">
      <x:c r="A314" s="83"/>
      <x:c r="B314" s="83"/>
    </x:row>
    <x:row r="315">
      <x:c r="A315" s="83"/>
      <x:c r="B315" s="83"/>
    </x:row>
    <x:row r="316">
      <x:c r="A316" s="83"/>
      <x:c r="B316" s="83"/>
    </x:row>
    <x:row r="317">
      <x:c r="A317" s="83"/>
      <x:c r="B317" s="83"/>
    </x:row>
    <x:row r="318">
      <x:c r="A318" s="83"/>
      <x:c r="B318" s="83"/>
    </x:row>
    <x:row r="319">
      <x:c r="A319" s="83"/>
      <x:c r="B319" s="83"/>
    </x:row>
    <x:row r="320">
      <x:c r="A320" s="83"/>
      <x:c r="B320" s="83"/>
    </x:row>
    <x:row r="321">
      <x:c r="A321" s="83"/>
      <x:c r="B321" s="83"/>
    </x:row>
    <x:row r="322">
      <x:c r="A322" s="83"/>
      <x:c r="B322" s="83"/>
    </x:row>
    <x:row r="323">
      <x:c r="A323" s="83"/>
      <x:c r="B323" s="83"/>
    </x:row>
    <x:row r="324">
      <x:c r="A324" s="83"/>
      <x:c r="B324" s="83"/>
    </x:row>
    <x:row r="325">
      <x:c r="A325" s="83"/>
      <x:c r="B325" s="83"/>
    </x:row>
    <x:row r="326">
      <x:c r="A326" s="83"/>
      <x:c r="B326" s="83"/>
    </x:row>
    <x:row r="327">
      <x:c r="A327" s="83"/>
      <x:c r="B327" s="83"/>
    </x:row>
    <x:row r="328">
      <x:c r="A328" s="83"/>
      <x:c r="B328" s="83"/>
    </x:row>
    <x:row r="329">
      <x:c r="A329" s="83"/>
      <x:c r="B329" s="83"/>
    </x:row>
    <x:row r="330">
      <x:c r="A330" s="83"/>
      <x:c r="B330" s="83"/>
    </x:row>
    <x:row r="331">
      <x:c r="A331" s="83"/>
      <x:c r="B331" s="83"/>
    </x:row>
    <x:row r="332">
      <x:c r="A332" s="83"/>
      <x:c r="B332" s="83"/>
    </x:row>
    <x:row r="333">
      <x:c r="A333" s="83"/>
      <x:c r="B333" s="83"/>
    </x:row>
    <x:row r="334">
      <x:c r="A334" s="83"/>
      <x:c r="B334" s="83"/>
    </x:row>
    <x:row r="335">
      <x:c r="A335" s="83"/>
      <x:c r="B335" s="83"/>
    </x:row>
    <x:row r="336">
      <x:c r="A336" s="83"/>
      <x:c r="B336" s="83"/>
    </x:row>
    <x:row r="337">
      <x:c r="A337" s="83"/>
      <x:c r="B337" s="83"/>
    </x:row>
    <x:row r="338">
      <x:c r="A338" s="83"/>
      <x:c r="B338" s="83"/>
    </x:row>
    <x:row r="339">
      <x:c r="A339" s="83"/>
      <x:c r="B339" s="83"/>
    </x:row>
    <x:row r="340">
      <x:c r="A340" s="83"/>
      <x:c r="B340" s="83"/>
    </x:row>
    <x:row r="341">
      <x:c r="A341" s="83"/>
      <x:c r="B341" s="83"/>
    </x:row>
    <x:row r="342">
      <x:c r="A342" s="83"/>
      <x:c r="B342" s="83"/>
    </x:row>
    <x:row r="343">
      <x:c r="A343" s="83"/>
      <x:c r="B343" s="83"/>
    </x:row>
    <x:row r="344">
      <x:c r="A344" s="83"/>
      <x:c r="B344" s="83"/>
    </x:row>
    <x:row r="345">
      <x:c r="A345" s="83"/>
      <x:c r="B345" s="83"/>
    </x:row>
    <x:row r="346">
      <x:c r="A346" s="83"/>
      <x:c r="B346" s="83"/>
    </x:row>
    <x:row r="347">
      <x:c r="A347" s="83"/>
      <x:c r="B347" s="83"/>
    </x:row>
    <x:row r="348">
      <x:c r="A348" s="83"/>
      <x:c r="B348" s="83"/>
    </x:row>
    <x:row r="349">
      <x:c r="A349" s="83"/>
      <x:c r="B349" s="83"/>
    </x:row>
    <x:row r="350">
      <x:c r="A350" s="83"/>
      <x:c r="B350" s="83"/>
    </x:row>
    <x:row r="351">
      <x:c r="A351" s="83"/>
      <x:c r="B351" s="83"/>
    </x:row>
    <x:row r="352">
      <x:c r="A352" s="83"/>
      <x:c r="B352" s="83"/>
    </x:row>
    <x:row r="353">
      <x:c r="A353" s="83"/>
      <x:c r="B353" s="83"/>
    </x:row>
    <x:row r="354">
      <x:c r="A354" s="83"/>
      <x:c r="B354" s="83"/>
    </x:row>
    <x:row r="355">
      <x:c r="A355" s="83"/>
      <x:c r="B355" s="83"/>
    </x:row>
    <x:row r="356">
      <x:c r="A356" s="83"/>
      <x:c r="B356" s="83"/>
    </x:row>
    <x:row r="357">
      <x:c r="A357" s="83"/>
      <x:c r="B357" s="83"/>
    </x:row>
    <x:row r="358">
      <x:c r="A358" s="83"/>
      <x:c r="B358" s="83"/>
    </x:row>
    <x:row r="359">
      <x:c r="A359" s="83"/>
      <x:c r="B359" s="83"/>
    </x:row>
    <x:row r="360">
      <x:c r="A360" s="83"/>
      <x:c r="B360" s="83"/>
    </x:row>
    <x:row r="361">
      <x:c r="A361" s="83"/>
      <x:c r="B361" s="83"/>
    </x:row>
    <x:row r="362">
      <x:c r="A362" s="83"/>
      <x:c r="B362" s="83"/>
    </x:row>
    <x:row r="363">
      <x:c r="A363" s="83"/>
      <x:c r="B363" s="83"/>
    </x:row>
    <x:row r="364">
      <x:c r="A364" s="83"/>
      <x:c r="B364" s="83"/>
    </x:row>
    <x:row r="365">
      <x:c r="A365" s="83"/>
      <x:c r="B365" s="83"/>
    </x:row>
    <x:row r="366">
      <x:c r="A366" s="83"/>
      <x:c r="B366" s="83"/>
    </x:row>
    <x:row r="367">
      <x:c r="A367" s="83"/>
      <x:c r="B367" s="83"/>
    </x:row>
    <x:row r="368">
      <x:c r="A368" s="83"/>
      <x:c r="B368" s="83"/>
    </x:row>
    <x:row r="369">
      <x:c r="A369" s="83"/>
      <x:c r="B369" s="83"/>
    </x:row>
    <x:row r="370">
      <x:c r="A370" s="83"/>
      <x:c r="B370" s="83"/>
    </x:row>
    <x:row r="371">
      <x:c r="A371" s="83"/>
      <x:c r="B371" s="83"/>
    </x:row>
    <x:row r="372">
      <x:c r="A372" s="83"/>
      <x:c r="B372" s="83"/>
    </x:row>
    <x:row r="373">
      <x:c r="A373" s="83"/>
      <x:c r="B373" s="83"/>
    </x:row>
    <x:row r="374">
      <x:c r="A374" s="83"/>
      <x:c r="B374" s="83"/>
    </x:row>
    <x:row r="375">
      <x:c r="A375" s="83"/>
      <x:c r="B375" s="83"/>
    </x:row>
    <x:row r="376">
      <x:c r="A376" s="83"/>
      <x:c r="B376" s="83"/>
    </x:row>
    <x:row r="377">
      <x:c r="A377" s="83"/>
      <x:c r="B377" s="83"/>
    </x:row>
    <x:row r="378">
      <x:c r="A378" s="83"/>
      <x:c r="B378" s="83"/>
    </x:row>
    <x:row r="379">
      <x:c r="A379" s="83"/>
      <x:c r="B379" s="83"/>
    </x:row>
    <x:row r="380">
      <x:c r="A380" s="83"/>
      <x:c r="B380" s="83"/>
    </x:row>
    <x:row r="381">
      <x:c r="A381" s="83"/>
      <x:c r="B381" s="83"/>
    </x:row>
    <x:row r="382">
      <x:c r="A382" s="83"/>
      <x:c r="B382" s="83"/>
    </x:row>
    <x:row r="383">
      <x:c r="A383" s="83"/>
      <x:c r="B383" s="83"/>
    </x:row>
    <x:row r="384">
      <x:c r="A384" s="83"/>
      <x:c r="B384" s="83"/>
    </x:row>
    <x:row r="385">
      <x:c r="A385" s="83"/>
      <x:c r="B385" s="83"/>
    </x:row>
    <x:row r="386">
      <x:c r="A386" s="83"/>
      <x:c r="B386" s="83"/>
    </x:row>
    <x:row r="387">
      <x:c r="A387" s="83"/>
      <x:c r="B387" s="83"/>
    </x:row>
    <x:row r="388">
      <x:c r="A388" s="83"/>
      <x:c r="B388" s="83"/>
    </x:row>
    <x:row r="389">
      <x:c r="A389" s="83"/>
      <x:c r="B389" s="83"/>
    </x:row>
    <x:row r="390">
      <x:c r="A390" s="83"/>
      <x:c r="B390" s="83"/>
    </x:row>
    <x:row r="391">
      <x:c r="A391" s="83"/>
      <x:c r="B391" s="83"/>
    </x:row>
    <x:row r="392">
      <x:c r="A392" s="83"/>
      <x:c r="B392" s="83"/>
    </x:row>
    <x:row r="393">
      <x:c r="A393" s="83"/>
      <x:c r="B393" s="83"/>
    </x:row>
    <x:row r="394">
      <x:c r="A394" s="83"/>
      <x:c r="B394" s="83"/>
    </x:row>
    <x:row r="395">
      <x:c r="A395" s="83"/>
      <x:c r="B395" s="83"/>
    </x:row>
    <x:row r="396">
      <x:c r="A396" s="83"/>
      <x:c r="B396" s="83"/>
    </x:row>
    <x:row r="397">
      <x:c r="A397" s="83"/>
      <x:c r="B397" s="83"/>
    </x:row>
    <x:row r="398">
      <x:c r="A398" s="83"/>
      <x:c r="B398" s="83"/>
    </x:row>
    <x:row r="399">
      <x:c r="A399" s="83"/>
      <x:c r="B399" s="83"/>
    </x:row>
    <x:row r="400">
      <x:c r="A400" s="83"/>
      <x:c r="B400" s="83"/>
    </x:row>
    <x:row r="401">
      <x:c r="A401" s="83"/>
      <x:c r="B401" s="83"/>
    </x:row>
    <x:row r="402">
      <x:c r="A402" s="83"/>
      <x:c r="B402" s="83"/>
    </x:row>
    <x:row r="403">
      <x:c r="A403" s="83"/>
      <x:c r="B403" s="83"/>
    </x:row>
    <x:row r="404">
      <x:c r="A404" s="83"/>
      <x:c r="B404" s="83"/>
    </x:row>
    <x:row r="405">
      <x:c r="A405" s="83"/>
      <x:c r="B405" s="83"/>
    </x:row>
    <x:row r="406">
      <x:c r="A406" s="83"/>
      <x:c r="B406" s="83"/>
    </x:row>
    <x:row r="407">
      <x:c r="A407" s="83"/>
      <x:c r="B407" s="83"/>
    </x:row>
    <x:row r="408">
      <x:c r="A408" s="83"/>
      <x:c r="B408" s="83"/>
    </x:row>
    <x:row r="409">
      <x:c r="A409" s="83"/>
      <x:c r="B409" s="83"/>
    </x:row>
    <x:row r="410">
      <x:c r="A410" s="83"/>
      <x:c r="B410" s="83"/>
    </x:row>
    <x:row r="411">
      <x:c r="A411" s="83"/>
      <x:c r="B411" s="83"/>
    </x:row>
    <x:row r="412">
      <x:c r="A412" s="83"/>
      <x:c r="B412" s="83"/>
    </x:row>
    <x:row r="413">
      <x:c r="A413" s="83"/>
      <x:c r="B413" s="83"/>
    </x:row>
    <x:row r="414">
      <x:c r="A414" s="83"/>
      <x:c r="B414" s="83"/>
    </x:row>
    <x:row r="415">
      <x:c r="A415" s="83"/>
      <x:c r="B415" s="83"/>
    </x:row>
    <x:row r="416">
      <x:c r="A416" s="83"/>
      <x:c r="B416" s="83"/>
    </x:row>
    <x:row r="417">
      <x:c r="A417" s="83"/>
      <x:c r="B417" s="83"/>
    </x:row>
    <x:row r="418">
      <x:c r="A418" s="83"/>
      <x:c r="B418" s="83"/>
    </x:row>
    <x:row r="419">
      <x:c r="A419" s="83"/>
      <x:c r="B419" s="83"/>
    </x:row>
    <x:row r="420">
      <x:c r="A420" s="83"/>
      <x:c r="B420" s="83"/>
    </x:row>
    <x:row r="421">
      <x:c r="A421" s="83"/>
      <x:c r="B421" s="83"/>
    </x:row>
    <x:row r="422">
      <x:c r="A422" s="83"/>
      <x:c r="B422" s="83"/>
    </x:row>
    <x:row r="423">
      <x:c r="A423" s="83"/>
      <x:c r="B423" s="83"/>
    </x:row>
    <x:row r="424">
      <x:c r="A424" s="83"/>
      <x:c r="B424" s="83"/>
    </x:row>
    <x:row r="425">
      <x:c r="A425" s="83"/>
      <x:c r="B425" s="83"/>
    </x:row>
    <x:row r="426">
      <x:c r="A426" s="83"/>
      <x:c r="B426" s="83"/>
    </x:row>
    <x:row r="427">
      <x:c r="A427" s="83"/>
      <x:c r="B427" s="83"/>
    </x:row>
    <x:row r="428">
      <x:c r="A428" s="83"/>
      <x:c r="B428" s="83"/>
    </x:row>
    <x:row r="429">
      <x:c r="A429" s="83"/>
      <x:c r="B429" s="83"/>
    </x:row>
    <x:row r="430">
      <x:c r="A430" s="83"/>
      <x:c r="B430" s="83"/>
    </x:row>
    <x:row r="431">
      <x:c r="A431" s="83"/>
      <x:c r="B431" s="83"/>
    </x:row>
    <x:row r="432">
      <x:c r="A432" s="83"/>
      <x:c r="B432" s="83"/>
    </x:row>
    <x:row r="433">
      <x:c r="A433" s="83"/>
      <x:c r="B433" s="83"/>
    </x:row>
    <x:row r="434">
      <x:c r="A434" s="83"/>
      <x:c r="B434" s="83"/>
    </x:row>
    <x:row r="435">
      <x:c r="A435" s="83"/>
      <x:c r="B435" s="83"/>
    </x:row>
    <x:row r="436">
      <x:c r="A436" s="83"/>
      <x:c r="B436" s="83"/>
    </x:row>
    <x:row r="437">
      <x:c r="A437" s="83"/>
      <x:c r="B437" s="83"/>
    </x:row>
    <x:row r="438">
      <x:c r="A438" s="83"/>
      <x:c r="B438" s="83"/>
    </x:row>
    <x:row r="439">
      <x:c r="A439" s="83"/>
      <x:c r="B439" s="83"/>
    </x:row>
    <x:row r="440">
      <x:c r="A440" s="83"/>
      <x:c r="B440" s="83"/>
    </x:row>
    <x:row r="441">
      <x:c r="A441" s="83"/>
      <x:c r="B441" s="83"/>
    </x:row>
    <x:row r="442">
      <x:c r="A442" s="83"/>
      <x:c r="B442" s="83"/>
    </x:row>
    <x:row r="443">
      <x:c r="A443" s="83"/>
      <x:c r="B443" s="83"/>
    </x:row>
    <x:row r="444">
      <x:c r="A444" s="83"/>
      <x:c r="B444" s="83"/>
    </x:row>
    <x:row r="445">
      <x:c r="A445" s="83"/>
      <x:c r="B445" s="83"/>
    </x:row>
    <x:row r="446">
      <x:c r="A446" s="83"/>
      <x:c r="B446" s="83"/>
    </x:row>
    <x:row r="447">
      <x:c r="A447" s="83"/>
      <x:c r="B447" s="83"/>
    </x:row>
    <x:row r="448">
      <x:c r="A448" s="83"/>
      <x:c r="B448" s="83"/>
    </x:row>
    <x:row r="449">
      <x:c r="A449" s="83"/>
      <x:c r="B449" s="83"/>
    </x:row>
    <x:row r="450">
      <x:c r="A450" s="83"/>
      <x:c r="B450" s="83"/>
    </x:row>
    <x:row r="451">
      <x:c r="A451" s="83"/>
      <x:c r="B451" s="83"/>
    </x:row>
    <x:row r="452">
      <x:c r="A452" s="83"/>
      <x:c r="B452" s="83"/>
    </x:row>
    <x:row r="453">
      <x:c r="A453" s="83"/>
      <x:c r="B453" s="83"/>
    </x:row>
    <x:row r="454">
      <x:c r="A454" s="83"/>
      <x:c r="B454" s="83"/>
    </x:row>
    <x:row r="455">
      <x:c r="A455" s="83"/>
      <x:c r="B455" s="83"/>
    </x:row>
    <x:row r="456">
      <x:c r="A456" s="83"/>
      <x:c r="B456" s="83"/>
    </x:row>
    <x:row r="457">
      <x:c r="A457" s="83"/>
      <x:c r="B457" s="83"/>
    </x:row>
    <x:row r="458">
      <x:c r="A458" s="83"/>
      <x:c r="B458" s="83"/>
    </x:row>
    <x:row r="459">
      <x:c r="A459" s="83"/>
      <x:c r="B459" s="83"/>
    </x:row>
    <x:row r="460">
      <x:c r="A460" s="83"/>
      <x:c r="B460" s="83"/>
    </x:row>
    <x:row r="461">
      <x:c r="A461" s="83"/>
      <x:c r="B461" s="83"/>
    </x:row>
    <x:row r="462">
      <x:c r="A462" s="83"/>
      <x:c r="B462" s="83"/>
    </x:row>
    <x:row r="463">
      <x:c r="A463" s="83"/>
      <x:c r="B463" s="83"/>
    </x:row>
    <x:row r="464">
      <x:c r="A464" s="83"/>
      <x:c r="B464" s="83"/>
    </x:row>
    <x:row r="465">
      <x:c r="A465" s="83"/>
      <x:c r="B465" s="83"/>
    </x:row>
    <x:row r="466">
      <x:c r="A466" s="83"/>
      <x:c r="B466" s="83"/>
    </x:row>
    <x:row r="467">
      <x:c r="A467" s="83"/>
      <x:c r="B467" s="83"/>
    </x:row>
    <x:row r="468">
      <x:c r="A468" s="83"/>
      <x:c r="B468" s="83"/>
    </x:row>
    <x:row r="469">
      <x:c r="A469" s="83"/>
      <x:c r="B469" s="83"/>
    </x:row>
    <x:row r="470">
      <x:c r="A470" s="83"/>
      <x:c r="B470" s="83"/>
    </x:row>
    <x:row r="471">
      <x:c r="A471" s="83"/>
      <x:c r="B471" s="83"/>
    </x:row>
    <x:row r="472">
      <x:c r="A472" s="83"/>
      <x:c r="B472" s="83"/>
    </x:row>
    <x:row r="473">
      <x:c r="A473" s="83"/>
      <x:c r="B473" s="83"/>
    </x:row>
    <x:row r="474">
      <x:c r="A474" s="83"/>
      <x:c r="B474" s="83"/>
    </x:row>
    <x:row r="475">
      <x:c r="A475" s="83"/>
      <x:c r="B475" s="83"/>
    </x:row>
    <x:row r="476">
      <x:c r="A476" s="83"/>
      <x:c r="B476" s="83"/>
    </x:row>
    <x:row r="477">
      <x:c r="A477" s="83"/>
      <x:c r="B477" s="83"/>
    </x:row>
    <x:row r="478">
      <x:c r="A478" s="83"/>
      <x:c r="B478" s="83"/>
    </x:row>
    <x:row r="479">
      <x:c r="A479" s="83"/>
      <x:c r="B479" s="83"/>
    </x:row>
    <x:row r="480">
      <x:c r="A480" s="83"/>
      <x:c r="B480" s="83"/>
    </x:row>
    <x:row r="481">
      <x:c r="A481" s="83"/>
      <x:c r="B481" s="83"/>
    </x:row>
    <x:row r="482">
      <x:c r="A482" s="83"/>
      <x:c r="B482" s="83"/>
    </x:row>
    <x:row r="483">
      <x:c r="A483" s="83"/>
      <x:c r="B483" s="83"/>
    </x:row>
    <x:row r="484">
      <x:c r="A484" s="83"/>
      <x:c r="B484" s="83"/>
    </x:row>
    <x:row r="485">
      <x:c r="A485" s="83"/>
      <x:c r="B485" s="83"/>
    </x:row>
    <x:row r="486">
      <x:c r="A486" s="83"/>
      <x:c r="B486" s="83"/>
    </x:row>
    <x:row r="487">
      <x:c r="A487" s="83"/>
      <x:c r="B487" s="83"/>
    </x:row>
    <x:row r="488">
      <x:c r="A488" s="83"/>
      <x:c r="B488" s="83"/>
    </x:row>
    <x:row r="489">
      <x:c r="A489" s="83"/>
      <x:c r="B489" s="83"/>
    </x:row>
    <x:row r="490">
      <x:c r="A490" s="83"/>
      <x:c r="B490" s="83"/>
    </x:row>
    <x:row r="491">
      <x:c r="A491" s="83"/>
      <x:c r="B491" s="83"/>
    </x:row>
    <x:row r="492">
      <x:c r="A492" s="83"/>
      <x:c r="B492" s="83"/>
    </x:row>
    <x:row r="493">
      <x:c r="A493" s="83"/>
      <x:c r="B493" s="83"/>
    </x:row>
    <x:row r="494">
      <x:c r="A494" s="83"/>
      <x:c r="B494" s="83"/>
    </x:row>
    <x:row r="495">
      <x:c r="A495" s="83"/>
      <x:c r="B495" s="83"/>
    </x:row>
    <x:row r="496">
      <x:c r="A496" s="83"/>
      <x:c r="B496" s="83"/>
    </x:row>
    <x:row r="497">
      <x:c r="A497" s="83"/>
      <x:c r="B497" s="83"/>
    </x:row>
    <x:row r="498">
      <x:c r="A498" s="83"/>
      <x:c r="B498" s="83"/>
    </x:row>
    <x:row r="499">
      <x:c r="A499" s="83"/>
      <x:c r="B499" s="83"/>
    </x:row>
    <x:row r="500">
      <x:c r="A500" s="83"/>
      <x:c r="B500" s="83"/>
    </x:row>
    <x:row r="501">
      <x:c r="A501" s="83"/>
      <x:c r="B501" s="83"/>
    </x:row>
    <x:row r="502">
      <x:c r="A502" s="83"/>
      <x:c r="B502" s="83"/>
    </x:row>
    <x:row r="503">
      <x:c r="A503" s="83"/>
      <x:c r="B503" s="83"/>
    </x:row>
    <x:row r="504">
      <x:c r="A504" s="83"/>
      <x:c r="B504" s="83"/>
    </x:row>
    <x:row r="505">
      <x:c r="A505" s="83"/>
      <x:c r="B505" s="83"/>
    </x:row>
    <x:row r="506">
      <x:c r="A506" s="83"/>
      <x:c r="B506" s="83"/>
    </x:row>
    <x:row r="507">
      <x:c r="A507" s="83"/>
      <x:c r="B507" s="83"/>
    </x:row>
    <x:row r="508">
      <x:c r="A508" s="83"/>
      <x:c r="B508" s="83"/>
    </x:row>
    <x:row r="509">
      <x:c r="A509" s="83"/>
      <x:c r="B509" s="83"/>
    </x:row>
    <x:row r="510">
      <x:c r="A510" s="83"/>
      <x:c r="B510" s="83"/>
    </x:row>
    <x:row r="511">
      <x:c r="A511" s="83"/>
      <x:c r="B511" s="83"/>
    </x:row>
    <x:row r="512">
      <x:c r="A512" s="83"/>
      <x:c r="B512" s="83"/>
    </x:row>
    <x:row r="513">
      <x:c r="A513" s="83"/>
      <x:c r="B513" s="83"/>
    </x:row>
    <x:row r="514">
      <x:c r="A514" s="83"/>
      <x:c r="B514" s="83"/>
    </x:row>
    <x:row r="515">
      <x:c r="A515" s="83"/>
      <x:c r="B515" s="83"/>
    </x:row>
    <x:row r="516">
      <x:c r="A516" s="83"/>
      <x:c r="B516" s="83"/>
    </x:row>
    <x:row r="517">
      <x:c r="A517" s="83"/>
      <x:c r="B517" s="83"/>
    </x:row>
    <x:row r="518">
      <x:c r="A518" s="83"/>
      <x:c r="B518" s="83"/>
    </x:row>
    <x:row r="519">
      <x:c r="A519" s="83"/>
      <x:c r="B519" s="83"/>
    </x:row>
    <x:row r="520">
      <x:c r="A520" s="83"/>
      <x:c r="B520" s="83"/>
    </x:row>
    <x:row r="521">
      <x:c r="A521" s="83"/>
      <x:c r="B521" s="83"/>
    </x:row>
    <x:row r="522">
      <x:c r="A522" s="83"/>
      <x:c r="B522" s="83"/>
    </x:row>
    <x:row r="523">
      <x:c r="A523" s="83"/>
      <x:c r="B523" s="83"/>
    </x:row>
    <x:row r="524">
      <x:c r="A524" s="83"/>
      <x:c r="B524" s="83"/>
    </x:row>
    <x:row r="525">
      <x:c r="A525" s="83"/>
      <x:c r="B525" s="83"/>
    </x:row>
    <x:row r="526">
      <x:c r="A526" s="83"/>
      <x:c r="B526" s="83"/>
    </x:row>
    <x:row r="527">
      <x:c r="A527" s="83"/>
      <x:c r="B527" s="83"/>
    </x:row>
    <x:row r="528">
      <x:c r="A528" s="83"/>
      <x:c r="B528" s="83"/>
    </x:row>
    <x:row r="529">
      <x:c r="A529" s="83"/>
      <x:c r="B529" s="83"/>
    </x:row>
    <x:row r="530">
      <x:c r="A530" s="83"/>
      <x:c r="B530" s="83"/>
    </x:row>
    <x:row r="531">
      <x:c r="A531" s="83"/>
      <x:c r="B531" s="83"/>
    </x:row>
    <x:row r="532">
      <x:c r="A532" s="83"/>
      <x:c r="B532" s="83"/>
    </x:row>
    <x:row r="533">
      <x:c r="A533" s="83"/>
      <x:c r="B533" s="83"/>
    </x:row>
    <x:row r="534">
      <x:c r="A534" s="83"/>
      <x:c r="B534" s="83"/>
    </x:row>
    <x:row r="535">
      <x:c r="A535" s="83"/>
      <x:c r="B535" s="83"/>
    </x:row>
    <x:row r="536">
      <x:c r="A536" s="83"/>
      <x:c r="B536" s="83"/>
    </x:row>
    <x:row r="537">
      <x:c r="A537" s="83"/>
      <x:c r="B537" s="83"/>
    </x:row>
    <x:row r="538">
      <x:c r="A538" s="83"/>
      <x:c r="B538" s="83"/>
    </x:row>
    <x:row r="539">
      <x:c r="A539" s="83"/>
      <x:c r="B539" s="83"/>
    </x:row>
    <x:row r="540">
      <x:c r="A540" s="83"/>
      <x:c r="B540" s="83"/>
    </x:row>
    <x:row r="541">
      <x:c r="A541" s="83"/>
      <x:c r="B541" s="83"/>
    </x:row>
    <x:row r="542">
      <x:c r="A542" s="83"/>
      <x:c r="B542" s="83"/>
    </x:row>
    <x:row r="543">
      <x:c r="A543" s="83"/>
      <x:c r="B543" s="83"/>
    </x:row>
    <x:row r="544">
      <x:c r="A544" s="83"/>
      <x:c r="B544" s="83"/>
    </x:row>
    <x:row r="545">
      <x:c r="A545" s="83"/>
      <x:c r="B545" s="83"/>
    </x:row>
    <x:row r="546">
      <x:c r="A546" s="83"/>
      <x:c r="B546" s="83"/>
    </x:row>
    <x:row r="547">
      <x:c r="A547" s="83"/>
      <x:c r="B547" s="83"/>
    </x:row>
    <x:row r="548">
      <x:c r="A548" s="83"/>
      <x:c r="B548" s="83"/>
    </x:row>
    <x:row r="549">
      <x:c r="A549" s="83"/>
      <x:c r="B549" s="83"/>
    </x:row>
    <x:row r="550">
      <x:c r="A550" s="83"/>
      <x:c r="B550" s="83"/>
    </x:row>
    <x:row r="551">
      <x:c r="A551" s="83"/>
      <x:c r="B551" s="83"/>
    </x:row>
    <x:row r="552">
      <x:c r="A552" s="83"/>
      <x:c r="B552" s="83"/>
    </x:row>
    <x:row r="553">
      <x:c r="A553" s="83"/>
      <x:c r="B553" s="83"/>
    </x:row>
    <x:row r="554">
      <x:c r="A554" s="83"/>
      <x:c r="B554" s="83"/>
    </x:row>
    <x:row r="555">
      <x:c r="A555" s="83"/>
      <x:c r="B555" s="83"/>
    </x:row>
    <x:row r="556">
      <x:c r="A556" s="83"/>
      <x:c r="B556" s="83"/>
    </x:row>
    <x:row r="557">
      <x:c r="A557" s="83"/>
      <x:c r="B557" s="83"/>
    </x:row>
    <x:row r="558">
      <x:c r="A558" s="83"/>
      <x:c r="B558" s="83"/>
    </x:row>
    <x:row r="559">
      <x:c r="A559" s="83"/>
      <x:c r="B559" s="83"/>
    </x:row>
    <x:row r="560">
      <x:c r="A560" s="83"/>
      <x:c r="B560" s="83"/>
    </x:row>
    <x:row r="561">
      <x:c r="A561" s="83"/>
      <x:c r="B561" s="83"/>
    </x:row>
    <x:row r="562">
      <x:c r="A562" s="83"/>
      <x:c r="B562" s="83"/>
    </x:row>
    <x:row r="563">
      <x:c r="A563" s="83"/>
      <x:c r="B563" s="83"/>
    </x:row>
    <x:row r="564">
      <x:c r="A564" s="83"/>
      <x:c r="B564" s="83"/>
    </x:row>
    <x:row r="565">
      <x:c r="A565" s="83"/>
      <x:c r="B565" s="83"/>
    </x:row>
    <x:row r="566">
      <x:c r="A566" s="83"/>
      <x:c r="B566" s="83"/>
    </x:row>
    <x:row r="567">
      <x:c r="A567" s="83"/>
      <x:c r="B567" s="83"/>
    </x:row>
    <x:row r="568">
      <x:c r="A568" s="83"/>
      <x:c r="B568" s="83"/>
    </x:row>
    <x:row r="569">
      <x:c r="A569" s="83"/>
      <x:c r="B569" s="83"/>
    </x:row>
    <x:row r="570">
      <x:c r="A570" s="83"/>
      <x:c r="B570" s="83"/>
    </x:row>
    <x:row r="571">
      <x:c r="A571" s="83"/>
      <x:c r="B571" s="83"/>
    </x:row>
    <x:row r="572">
      <x:c r="A572" s="83"/>
      <x:c r="B572" s="83"/>
    </x:row>
    <x:row r="573">
      <x:c r="A573" s="83"/>
      <x:c r="B573" s="83"/>
    </x:row>
    <x:row r="574">
      <x:c r="A574" s="83"/>
      <x:c r="B574" s="83"/>
    </x:row>
    <x:row r="575">
      <x:c r="A575" s="83"/>
      <x:c r="B575" s="83"/>
    </x:row>
    <x:row r="576">
      <x:c r="A576" s="83"/>
      <x:c r="B576" s="83"/>
    </x:row>
    <x:row r="577">
      <x:c r="A577" s="83"/>
      <x:c r="B577" s="83"/>
    </x:row>
    <x:row r="578">
      <x:c r="A578" s="83"/>
      <x:c r="B578" s="83"/>
    </x:row>
    <x:row r="579">
      <x:c r="A579" s="83"/>
      <x:c r="B579" s="83"/>
    </x:row>
    <x:row r="580">
      <x:c r="A580" s="83"/>
      <x:c r="B580" s="83"/>
    </x:row>
    <x:row r="581">
      <x:c r="A581" s="83"/>
      <x:c r="B581" s="83"/>
    </x:row>
    <x:row r="582">
      <x:c r="A582" s="83"/>
      <x:c r="B582" s="83"/>
    </x:row>
    <x:row r="583">
      <x:c r="A583" s="83"/>
      <x:c r="B583" s="83"/>
    </x:row>
    <x:row r="584">
      <x:c r="A584" s="83"/>
      <x:c r="B584" s="83"/>
    </x:row>
    <x:row r="585">
      <x:c r="A585" s="83"/>
      <x:c r="B585" s="83"/>
    </x:row>
    <x:row r="586">
      <x:c r="A586" s="83"/>
      <x:c r="B586" s="83"/>
    </x:row>
    <x:row r="587">
      <x:c r="A587" s="83"/>
      <x:c r="B587" s="83"/>
    </x:row>
    <x:row r="588">
      <x:c r="A588" s="83"/>
      <x:c r="B588" s="83"/>
    </x:row>
    <x:row r="589">
      <x:c r="A589" s="83"/>
      <x:c r="B589" s="83"/>
    </x:row>
    <x:row r="590">
      <x:c r="A590" s="83"/>
      <x:c r="B590" s="83"/>
    </x:row>
    <x:row r="591">
      <x:c r="A591" s="83"/>
      <x:c r="B591" s="83"/>
    </x:row>
    <x:row r="592">
      <x:c r="A592" s="83"/>
      <x:c r="B592" s="83"/>
    </x:row>
    <x:row r="593">
      <x:c r="A593" s="83"/>
      <x:c r="B593" s="83"/>
    </x:row>
    <x:row r="594">
      <x:c r="A594" s="83"/>
      <x:c r="B594" s="83"/>
    </x:row>
    <x:row r="595">
      <x:c r="A595" s="83"/>
      <x:c r="B595" s="83"/>
    </x:row>
    <x:row r="596">
      <x:c r="A596" s="83"/>
      <x:c r="B596" s="83"/>
    </x:row>
    <x:row r="597">
      <x:c r="A597" s="83"/>
      <x:c r="B597" s="83"/>
    </x:row>
    <x:row r="598">
      <x:c r="A598" s="83"/>
      <x:c r="B598" s="83"/>
    </x:row>
    <x:row r="599">
      <x:c r="A599" s="83"/>
      <x:c r="B599" s="83"/>
    </x:row>
    <x:row r="600">
      <x:c r="A600" s="83"/>
      <x:c r="B600" s="83"/>
    </x:row>
    <x:row r="601">
      <x:c r="A601" s="83"/>
      <x:c r="B601" s="83"/>
    </x:row>
    <x:row r="602">
      <x:c r="A602" s="83"/>
      <x:c r="B602" s="83"/>
    </x:row>
    <x:row r="603">
      <x:c r="A603" s="83"/>
      <x:c r="B603" s="83"/>
    </x:row>
    <x:row r="604">
      <x:c r="A604" s="83"/>
      <x:c r="B604" s="83"/>
    </x:row>
    <x:row r="605">
      <x:c r="A605" s="83"/>
      <x:c r="B605" s="83"/>
    </x:row>
    <x:row r="606">
      <x:c r="A606" s="83"/>
      <x:c r="B606" s="83"/>
    </x:row>
    <x:row r="607">
      <x:c r="A607" s="83"/>
      <x:c r="B607" s="83"/>
    </x:row>
    <x:row r="608">
      <x:c r="A608" s="83"/>
      <x:c r="B608" s="83"/>
    </x:row>
    <x:row r="609">
      <x:c r="A609" s="83"/>
      <x:c r="B609" s="83"/>
    </x:row>
    <x:row r="610">
      <x:c r="A610" s="83"/>
      <x:c r="B610" s="83"/>
    </x:row>
    <x:row r="611">
      <x:c r="A611" s="83"/>
      <x:c r="B611" s="83"/>
    </x:row>
    <x:row r="612">
      <x:c r="A612" s="83"/>
      <x:c r="B612" s="83"/>
    </x:row>
    <x:row r="613">
      <x:c r="A613" s="83"/>
      <x:c r="B613" s="83"/>
    </x:row>
    <x:row r="614">
      <x:c r="A614" s="83"/>
      <x:c r="B614" s="83"/>
    </x:row>
    <x:row r="615">
      <x:c r="A615" s="83"/>
      <x:c r="B615" s="83"/>
    </x:row>
    <x:row r="616">
      <x:c r="A616" s="83"/>
      <x:c r="B616" s="83"/>
    </x:row>
    <x:row r="617">
      <x:c r="A617" s="83"/>
      <x:c r="B617" s="83"/>
    </x:row>
    <x:row r="618">
      <x:c r="A618" s="83"/>
      <x:c r="B618" s="83"/>
    </x:row>
    <x:row r="619">
      <x:c r="A619" s="83"/>
      <x:c r="B619" s="83"/>
    </x:row>
    <x:row r="620">
      <x:c r="A620" s="83"/>
      <x:c r="B620" s="83"/>
    </x:row>
    <x:row r="621">
      <x:c r="A621" s="83"/>
      <x:c r="B621" s="83"/>
    </x:row>
    <x:row r="622">
      <x:c r="A622" s="83"/>
      <x:c r="B622" s="83"/>
    </x:row>
    <x:row r="623">
      <x:c r="A623" s="83"/>
      <x:c r="B623" s="83"/>
    </x:row>
    <x:row r="624">
      <x:c r="A624" s="83"/>
      <x:c r="B624" s="83"/>
    </x:row>
    <x:row r="625">
      <x:c r="A625" s="83"/>
      <x:c r="B625" s="83"/>
    </x:row>
    <x:row r="626">
      <x:c r="A626" s="83"/>
      <x:c r="B626" s="83"/>
    </x:row>
    <x:row r="627">
      <x:c r="A627" s="83"/>
      <x:c r="B627" s="83"/>
    </x:row>
    <x:row r="628">
      <x:c r="A628" s="83"/>
      <x:c r="B628" s="83"/>
    </x:row>
    <x:row r="629">
      <x:c r="A629" s="83"/>
      <x:c r="B629" s="83"/>
    </x:row>
    <x:row r="630">
      <x:c r="A630" s="83"/>
      <x:c r="B630" s="83"/>
    </x:row>
    <x:row r="631">
      <x:c r="A631" s="83"/>
      <x:c r="B631" s="83"/>
    </x:row>
    <x:row r="632">
      <x:c r="A632" s="83"/>
      <x:c r="B632" s="83"/>
    </x:row>
    <x:row r="633">
      <x:c r="A633" s="83"/>
      <x:c r="B633" s="83"/>
    </x:row>
    <x:row r="634">
      <x:c r="A634" s="83"/>
      <x:c r="B634" s="83"/>
    </x:row>
    <x:row r="635">
      <x:c r="A635" s="83"/>
      <x:c r="B635" s="83"/>
    </x:row>
    <x:row r="636">
      <x:c r="A636" s="83"/>
      <x:c r="B636" s="83"/>
    </x:row>
    <x:row r="637">
      <x:c r="A637" s="83"/>
      <x:c r="B637" s="83"/>
    </x:row>
    <x:row r="638">
      <x:c r="A638" s="83"/>
      <x:c r="B638" s="83"/>
    </x:row>
    <x:row r="639">
      <x:c r="A639" s="83"/>
      <x:c r="B639" s="83"/>
    </x:row>
    <x:row r="640">
      <x:c r="A640" s="83"/>
      <x:c r="B640" s="83"/>
    </x:row>
    <x:row r="641">
      <x:c r="A641" s="83"/>
      <x:c r="B641" s="83"/>
    </x:row>
    <x:row r="642">
      <x:c r="A642" s="83"/>
      <x:c r="B642" s="83"/>
    </x:row>
    <x:row r="643">
      <x:c r="A643" s="83"/>
      <x:c r="B643" s="83"/>
    </x:row>
    <x:row r="644">
      <x:c r="A644" s="83"/>
      <x:c r="B644" s="83"/>
    </x:row>
    <x:row r="645">
      <x:c r="A645" s="83"/>
      <x:c r="B645" s="83"/>
    </x:row>
    <x:row r="646">
      <x:c r="A646" s="83"/>
      <x:c r="B646" s="83"/>
    </x:row>
    <x:row r="647">
      <x:c r="A647" s="83"/>
      <x:c r="B647" s="83"/>
    </x:row>
    <x:row r="648">
      <x:c r="A648" s="83"/>
      <x:c r="B648" s="83"/>
    </x:row>
    <x:row r="649">
      <x:c r="A649" s="83"/>
      <x:c r="B649" s="83"/>
    </x:row>
    <x:row r="650">
      <x:c r="A650" s="83"/>
      <x:c r="B650" s="83"/>
    </x:row>
    <x:row r="651">
      <x:c r="A651" s="83"/>
      <x:c r="B651" s="83"/>
    </x:row>
    <x:row r="652">
      <x:c r="A652" s="83"/>
      <x:c r="B652" s="83"/>
    </x:row>
    <x:row r="653">
      <x:c r="A653" s="83"/>
      <x:c r="B653" s="83"/>
    </x:row>
    <x:row r="654">
      <x:c r="A654" s="83"/>
      <x:c r="B654" s="83"/>
    </x:row>
    <x:row r="655">
      <x:c r="A655" s="83"/>
      <x:c r="B655" s="83"/>
    </x:row>
    <x:row r="656">
      <x:c r="A656" s="83"/>
      <x:c r="B656" s="83"/>
    </x:row>
    <x:row r="657">
      <x:c r="A657" s="83"/>
      <x:c r="B657" s="83"/>
    </x:row>
    <x:row r="658">
      <x:c r="A658" s="83"/>
      <x:c r="B658" s="83"/>
    </x:row>
    <x:row r="659">
      <x:c r="A659" s="83"/>
      <x:c r="B659" s="83"/>
    </x:row>
    <x:row r="660">
      <x:c r="A660" s="83"/>
      <x:c r="B660" s="83"/>
    </x:row>
    <x:row r="661">
      <x:c r="A661" s="83"/>
      <x:c r="B661" s="83"/>
    </x:row>
    <x:row r="662">
      <x:c r="A662" s="83"/>
      <x:c r="B662" s="83"/>
    </x:row>
    <x:row r="663">
      <x:c r="A663" s="83"/>
      <x:c r="B663" s="83"/>
    </x:row>
    <x:row r="664">
      <x:c r="A664" s="83"/>
      <x:c r="B664" s="83"/>
    </x:row>
    <x:row r="665">
      <x:c r="A665" s="83"/>
      <x:c r="B665" s="83"/>
    </x:row>
    <x:row r="666">
      <x:c r="A666" s="83"/>
      <x:c r="B666" s="83"/>
    </x:row>
    <x:row r="667">
      <x:c r="A667" s="83"/>
      <x:c r="B667" s="83"/>
    </x:row>
    <x:row r="668">
      <x:c r="A668" s="83"/>
      <x:c r="B668" s="83"/>
    </x:row>
    <x:row r="669">
      <x:c r="A669" s="83"/>
      <x:c r="B669" s="83"/>
    </x:row>
    <x:row r="670">
      <x:c r="A670" s="83"/>
      <x:c r="B670" s="83"/>
    </x:row>
    <x:row r="671">
      <x:c r="A671" s="83"/>
      <x:c r="B671" s="83"/>
    </x:row>
    <x:row r="672">
      <x:c r="A672" s="83"/>
      <x:c r="B672" s="83"/>
    </x:row>
    <x:row r="673">
      <x:c r="A673" s="83"/>
      <x:c r="B673" s="83"/>
    </x:row>
    <x:row r="674">
      <x:c r="A674" s="83"/>
      <x:c r="B674" s="83"/>
    </x:row>
    <x:row r="675">
      <x:c r="A675" s="83"/>
      <x:c r="B675" s="83"/>
    </x:row>
    <x:row r="676">
      <x:c r="A676" s="83"/>
      <x:c r="B676" s="83"/>
    </x:row>
    <x:row r="677">
      <x:c r="A677" s="83"/>
      <x:c r="B677" s="83"/>
    </x:row>
    <x:row r="678">
      <x:c r="A678" s="83"/>
      <x:c r="B678" s="83"/>
    </x:row>
    <x:row r="679">
      <x:c r="A679" s="83"/>
      <x:c r="B679" s="83"/>
    </x:row>
    <x:row r="680">
      <x:c r="A680" s="83"/>
      <x:c r="B680" s="83"/>
    </x:row>
    <x:row r="681">
      <x:c r="A681" s="83"/>
      <x:c r="B681" s="83"/>
    </x:row>
    <x:row r="682">
      <x:c r="A682" s="83"/>
      <x:c r="B682" s="83"/>
    </x:row>
    <x:row r="683">
      <x:c r="A683" s="83"/>
      <x:c r="B683" s="83"/>
    </x:row>
    <x:row r="684">
      <x:c r="A684" s="83"/>
      <x:c r="B684" s="83"/>
    </x:row>
    <x:row r="685">
      <x:c r="A685" s="83"/>
      <x:c r="B685" s="83"/>
    </x:row>
    <x:row r="686">
      <x:c r="A686" s="83"/>
      <x:c r="B686" s="83"/>
    </x:row>
    <x:row r="687">
      <x:c r="A687" s="83"/>
      <x:c r="B687" s="83"/>
    </x:row>
    <x:row r="688">
      <x:c r="A688" s="83"/>
      <x:c r="B688" s="83"/>
    </x:row>
    <x:row r="689">
      <x:c r="A689" s="83"/>
      <x:c r="B689" s="83"/>
    </x:row>
    <x:row r="690">
      <x:c r="A690" s="83"/>
      <x:c r="B690" s="83"/>
    </x:row>
    <x:row r="691">
      <x:c r="A691" s="83"/>
      <x:c r="B691" s="83"/>
    </x:row>
    <x:row r="692">
      <x:c r="A692" s="83"/>
      <x:c r="B692" s="83"/>
    </x:row>
    <x:row r="693">
      <x:c r="A693" s="83"/>
      <x:c r="B693" s="83"/>
    </x:row>
    <x:row r="694">
      <x:c r="A694" s="83"/>
      <x:c r="B694" s="83"/>
    </x:row>
    <x:row r="695">
      <x:c r="A695" s="83"/>
      <x:c r="B695" s="83"/>
    </x:row>
    <x:row r="696">
      <x:c r="A696" s="83"/>
      <x:c r="B696" s="83"/>
    </x:row>
    <x:row r="697">
      <x:c r="A697" s="83"/>
      <x:c r="B697" s="83"/>
    </x:row>
    <x:row r="698">
      <x:c r="A698" s="83"/>
      <x:c r="B698" s="83"/>
    </x:row>
    <x:row r="699">
      <x:c r="A699" s="83"/>
      <x:c r="B699" s="83"/>
    </x:row>
    <x:row r="700">
      <x:c r="A700" s="83"/>
      <x:c r="B700" s="83"/>
    </x:row>
    <x:row r="701">
      <x:c r="A701" s="83"/>
      <x:c r="B701" s="83"/>
    </x:row>
    <x:row r="702">
      <x:c r="A702" s="83"/>
      <x:c r="B702" s="83"/>
    </x:row>
    <x:row r="703">
      <x:c r="A703" s="83"/>
      <x:c r="B703" s="83"/>
    </x:row>
    <x:row r="704">
      <x:c r="A704" s="83"/>
      <x:c r="B704" s="83"/>
    </x:row>
    <x:row r="705">
      <x:c r="A705" s="83"/>
      <x:c r="B705" s="83"/>
    </x:row>
    <x:row r="706">
      <x:c r="A706" s="83"/>
      <x:c r="B706" s="83"/>
    </x:row>
    <x:row r="707">
      <x:c r="A707" s="83"/>
      <x:c r="B707" s="83"/>
    </x:row>
    <x:row r="708">
      <x:c r="A708" s="83"/>
      <x:c r="B708" s="83"/>
    </x:row>
    <x:row r="709">
      <x:c r="A709" s="83"/>
      <x:c r="B709" s="83"/>
    </x:row>
    <x:row r="710">
      <x:c r="A710" s="83"/>
      <x:c r="B710" s="83"/>
    </x:row>
    <x:row r="711">
      <x:c r="A711" s="83"/>
      <x:c r="B711" s="83"/>
    </x:row>
    <x:row r="712">
      <x:c r="A712" s="83"/>
      <x:c r="B712" s="83"/>
    </x:row>
    <x:row r="713">
      <x:c r="A713" s="83"/>
      <x:c r="B713" s="83"/>
    </x:row>
    <x:row r="714">
      <x:c r="A714" s="83"/>
      <x:c r="B714" s="83"/>
    </x:row>
    <x:row r="715">
      <x:c r="A715" s="83"/>
      <x:c r="B715" s="83"/>
    </x:row>
    <x:row r="716">
      <x:c r="A716" s="83"/>
      <x:c r="B716" s="83"/>
    </x:row>
    <x:row r="717">
      <x:c r="A717" s="83"/>
      <x:c r="B717" s="83"/>
    </x:row>
    <x:row r="718">
      <x:c r="A718" s="83"/>
      <x:c r="B718" s="83"/>
    </x:row>
    <x:row r="719">
      <x:c r="A719" s="83"/>
      <x:c r="B719" s="83"/>
    </x:row>
    <x:row r="720">
      <x:c r="A720" s="83"/>
      <x:c r="B720" s="83"/>
    </x:row>
    <x:row r="721">
      <x:c r="A721" s="83"/>
      <x:c r="B721" s="83"/>
    </x:row>
    <x:row r="722">
      <x:c r="A722" s="83"/>
      <x:c r="B722" s="83"/>
    </x:row>
    <x:row r="723">
      <x:c r="A723" s="83"/>
      <x:c r="B723" s="83"/>
    </x:row>
    <x:row r="724">
      <x:c r="A724" s="83"/>
      <x:c r="B724" s="83"/>
    </x:row>
    <x:row r="725">
      <x:c r="A725" s="83"/>
      <x:c r="B725" s="83"/>
    </x:row>
    <x:row r="726">
      <x:c r="A726" s="83"/>
      <x:c r="B726" s="83"/>
    </x:row>
    <x:row r="727">
      <x:c r="A727" s="83"/>
      <x:c r="B727" s="83"/>
    </x:row>
    <x:row r="728">
      <x:c r="A728" s="83"/>
      <x:c r="B728" s="83"/>
    </x:row>
    <x:row r="729">
      <x:c r="A729" s="83"/>
      <x:c r="B729" s="83"/>
    </x:row>
    <x:row r="730">
      <x:c r="A730" s="83"/>
      <x:c r="B730" s="83"/>
    </x:row>
    <x:row r="731">
      <x:c r="A731" s="83"/>
      <x:c r="B731" s="83"/>
    </x:row>
    <x:row r="732">
      <x:c r="A732" s="83"/>
      <x:c r="B732" s="83"/>
    </x:row>
    <x:row r="733">
      <x:c r="A733" s="83"/>
      <x:c r="B733" s="83"/>
    </x:row>
    <x:row r="734">
      <x:c r="A734" s="83"/>
      <x:c r="B734" s="83"/>
    </x:row>
    <x:row r="735">
      <x:c r="A735" s="83"/>
      <x:c r="B735" s="83"/>
    </x:row>
    <x:row r="736">
      <x:c r="A736" s="83"/>
      <x:c r="B736" s="83"/>
    </x:row>
    <x:row r="737">
      <x:c r="A737" s="83"/>
      <x:c r="B737" s="83"/>
    </x:row>
    <x:row r="738">
      <x:c r="A738" s="83"/>
      <x:c r="B738" s="83"/>
    </x:row>
    <x:row r="739">
      <x:c r="A739" s="83"/>
      <x:c r="B739" s="83"/>
    </x:row>
    <x:row r="740">
      <x:c r="A740" s="83"/>
      <x:c r="B740" s="83"/>
    </x:row>
    <x:row r="741">
      <x:c r="A741" s="83"/>
      <x:c r="B741" s="83"/>
    </x:row>
    <x:row r="742">
      <x:c r="A742" s="83"/>
      <x:c r="B742" s="83"/>
    </x:row>
    <x:row r="743">
      <x:c r="A743" s="83"/>
      <x:c r="B743" s="83"/>
    </x:row>
    <x:row r="744">
      <x:c r="A744" s="83"/>
      <x:c r="B744" s="83"/>
    </x:row>
    <x:row r="745">
      <x:c r="A745" s="83"/>
      <x:c r="B745" s="83"/>
    </x:row>
    <x:row r="746">
      <x:c r="A746" s="83"/>
      <x:c r="B746" s="83"/>
    </x:row>
    <x:row r="747">
      <x:c r="A747" s="83"/>
      <x:c r="B747" s="83"/>
    </x:row>
    <x:row r="748">
      <x:c r="A748" s="83"/>
      <x:c r="B748" s="83"/>
    </x:row>
    <x:row r="749">
      <x:c r="A749" s="83"/>
      <x:c r="B749" s="83"/>
    </x:row>
    <x:row r="750">
      <x:c r="A750" s="83"/>
      <x:c r="B750" s="83"/>
    </x:row>
    <x:row r="751">
      <x:c r="A751" s="83"/>
      <x:c r="B751" s="83"/>
    </x:row>
    <x:row r="752">
      <x:c r="A752" s="83"/>
      <x:c r="B752" s="83"/>
    </x:row>
    <x:row r="753">
      <x:c r="A753" s="83"/>
      <x:c r="B753" s="83"/>
    </x:row>
    <x:row r="754">
      <x:c r="A754" s="83"/>
      <x:c r="B754" s="83"/>
    </x:row>
    <x:row r="755">
      <x:c r="A755" s="83"/>
      <x:c r="B755" s="83"/>
    </x:row>
    <x:row r="756">
      <x:c r="A756" s="83"/>
      <x:c r="B756" s="83"/>
    </x:row>
    <x:row r="757">
      <x:c r="A757" s="83"/>
      <x:c r="B757" s="83"/>
    </x:row>
    <x:row r="758">
      <x:c r="A758" s="83"/>
      <x:c r="B758" s="83"/>
    </x:row>
    <x:row r="759">
      <x:c r="A759" s="83"/>
      <x:c r="B759" s="83"/>
    </x:row>
    <x:row r="760">
      <x:c r="A760" s="83"/>
      <x:c r="B760" s="83"/>
    </x:row>
    <x:row r="761">
      <x:c r="A761" s="83"/>
      <x:c r="B761" s="83"/>
    </x:row>
    <x:row r="762">
      <x:c r="A762" s="83"/>
      <x:c r="B762" s="83"/>
    </x:row>
    <x:row r="763">
      <x:c r="A763" s="83"/>
      <x:c r="B763" s="83"/>
    </x:row>
    <x:row r="764">
      <x:c r="A764" s="83"/>
      <x:c r="B764" s="83"/>
    </x:row>
    <x:row r="765">
      <x:c r="A765" s="83"/>
      <x:c r="B765" s="83"/>
    </x:row>
    <x:row r="766">
      <x:c r="A766" s="83"/>
      <x:c r="B766" s="83"/>
    </x:row>
    <x:row r="767">
      <x:c r="A767" s="83"/>
      <x:c r="B767" s="83"/>
    </x:row>
    <x:row r="768">
      <x:c r="A768" s="83"/>
      <x:c r="B768" s="83"/>
    </x:row>
    <x:row r="769">
      <x:c r="A769" s="83"/>
      <x:c r="B769" s="83"/>
    </x:row>
    <x:row r="770">
      <x:c r="A770" s="83"/>
      <x:c r="B770" s="83"/>
    </x:row>
    <x:row r="771">
      <x:c r="A771" s="83"/>
      <x:c r="B771" s="83"/>
    </x:row>
    <x:row r="772">
      <x:c r="A772" s="83"/>
      <x:c r="B772" s="83"/>
    </x:row>
    <x:row r="773">
      <x:c r="A773" s="83"/>
      <x:c r="B773" s="83"/>
    </x:row>
    <x:row r="774">
      <x:c r="A774" s="83"/>
      <x:c r="B774" s="83"/>
    </x:row>
    <x:row r="775">
      <x:c r="A775" s="83"/>
      <x:c r="B775" s="83"/>
    </x:row>
    <x:row r="776">
      <x:c r="A776" s="83"/>
      <x:c r="B776" s="83"/>
    </x:row>
    <x:row r="777">
      <x:c r="A777" s="83"/>
      <x:c r="B777" s="83"/>
    </x:row>
    <x:row r="778">
      <x:c r="A778" s="83"/>
      <x:c r="B778" s="83"/>
    </x:row>
    <x:row r="779">
      <x:c r="A779" s="83"/>
      <x:c r="B779" s="83"/>
    </x:row>
    <x:row r="780">
      <x:c r="A780" s="83"/>
      <x:c r="B780" s="83"/>
    </x:row>
    <x:row r="781">
      <x:c r="A781" s="83"/>
      <x:c r="B781" s="83"/>
    </x:row>
    <x:row r="782">
      <x:c r="A782" s="83"/>
      <x:c r="B782" s="83"/>
    </x:row>
    <x:row r="783">
      <x:c r="A783" s="83"/>
      <x:c r="B783" s="83"/>
    </x:row>
    <x:row r="784">
      <x:c r="A784" s="83"/>
      <x:c r="B784" s="83"/>
    </x:row>
    <x:row r="785">
      <x:c r="A785" s="83"/>
      <x:c r="B785" s="83"/>
    </x:row>
    <x:row r="786">
      <x:c r="A786" s="83"/>
      <x:c r="B786" s="83"/>
    </x:row>
    <x:row r="787">
      <x:c r="A787" s="83"/>
      <x:c r="B787" s="83"/>
    </x:row>
    <x:row r="788">
      <x:c r="A788" s="83"/>
      <x:c r="B788" s="83"/>
    </x:row>
    <x:row r="789">
      <x:c r="A789" s="83"/>
      <x:c r="B789" s="83"/>
    </x:row>
    <x:row r="790">
      <x:c r="A790" s="83"/>
      <x:c r="B790" s="83"/>
    </x:row>
    <x:row r="791">
      <x:c r="A791" s="83"/>
      <x:c r="B791" s="83"/>
    </x:row>
    <x:row r="792">
      <x:c r="A792" s="83"/>
      <x:c r="B792" s="83"/>
    </x:row>
    <x:row r="793">
      <x:c r="A793" s="83"/>
      <x:c r="B793" s="83"/>
    </x:row>
    <x:row r="794">
      <x:c r="A794" s="83"/>
      <x:c r="B794" s="83"/>
    </x:row>
    <x:row r="795">
      <x:c r="A795" s="83"/>
      <x:c r="B795" s="83"/>
    </x:row>
    <x:row r="796">
      <x:c r="A796" s="83"/>
      <x:c r="B796" s="83"/>
    </x:row>
    <x:row r="797">
      <x:c r="A797" s="83"/>
      <x:c r="B797" s="83"/>
    </x:row>
    <x:row r="798">
      <x:c r="A798" s="83"/>
      <x:c r="B798" s="83"/>
    </x:row>
    <x:row r="799">
      <x:c r="A799" s="83"/>
      <x:c r="B799" s="83"/>
    </x:row>
    <x:row r="800">
      <x:c r="A800" s="83"/>
      <x:c r="B800" s="83"/>
    </x:row>
    <x:row r="801">
      <x:c r="A801" s="83"/>
      <x:c r="B801" s="83"/>
    </x:row>
    <x:row r="802">
      <x:c r="A802" s="83"/>
      <x:c r="B802" s="83"/>
    </x:row>
    <x:row r="803">
      <x:c r="A803" s="83"/>
      <x:c r="B803" s="83"/>
    </x:row>
    <x:row r="804">
      <x:c r="A804" s="83"/>
      <x:c r="B804" s="83"/>
    </x:row>
    <x:row r="805">
      <x:c r="A805" s="83"/>
      <x:c r="B805" s="83"/>
    </x:row>
    <x:row r="806">
      <x:c r="A806" s="83"/>
      <x:c r="B806" s="83"/>
    </x:row>
    <x:row r="807">
      <x:c r="A807" s="83"/>
      <x:c r="B807" s="83"/>
    </x:row>
    <x:row r="808">
      <x:c r="A808" s="83"/>
      <x:c r="B808" s="83"/>
    </x:row>
    <x:row r="809">
      <x:c r="A809" s="83"/>
      <x:c r="B809" s="83"/>
    </x:row>
    <x:row r="810">
      <x:c r="A810" s="83"/>
      <x:c r="B810" s="83"/>
    </x:row>
    <x:row r="811">
      <x:c r="A811" s="83"/>
      <x:c r="B811" s="83"/>
    </x:row>
    <x:row r="812">
      <x:c r="A812" s="83"/>
      <x:c r="B812" s="83"/>
    </x:row>
    <x:row r="813">
      <x:c r="A813" s="83"/>
      <x:c r="B813" s="83"/>
    </x:row>
    <x:row r="814">
      <x:c r="A814" s="83"/>
      <x:c r="B814" s="83"/>
    </x:row>
    <x:row r="815">
      <x:c r="A815" s="83"/>
      <x:c r="B815" s="83"/>
    </x:row>
    <x:row r="816">
      <x:c r="A816" s="83"/>
      <x:c r="B816" s="83"/>
    </x:row>
    <x:row r="817">
      <x:c r="A817" s="83"/>
      <x:c r="B817" s="83"/>
    </x:row>
    <x:row r="818">
      <x:c r="A818" s="83"/>
      <x:c r="B818" s="83"/>
    </x:row>
    <x:row r="819">
      <x:c r="A819" s="83"/>
      <x:c r="B819" s="83"/>
    </x:row>
    <x:row r="820">
      <x:c r="A820" s="83"/>
      <x:c r="B820" s="83"/>
    </x:row>
    <x:row r="821">
      <x:c r="A821" s="83"/>
      <x:c r="B821" s="83"/>
    </x:row>
    <x:row r="822">
      <x:c r="A822" s="83"/>
      <x:c r="B822" s="83"/>
    </x:row>
    <x:row r="823">
      <x:c r="A823" s="83"/>
      <x:c r="B823" s="83"/>
    </x:row>
    <x:row r="824">
      <x:c r="A824" s="83"/>
      <x:c r="B824" s="83"/>
    </x:row>
    <x:row r="825">
      <x:c r="A825" s="83"/>
      <x:c r="B825" s="83"/>
    </x:row>
    <x:row r="826">
      <x:c r="A826" s="83"/>
      <x:c r="B826" s="83"/>
    </x:row>
    <x:row r="827">
      <x:c r="A827" s="83"/>
      <x:c r="B827" s="83"/>
    </x:row>
    <x:row r="828">
      <x:c r="A828" s="83"/>
      <x:c r="B828" s="83"/>
    </x:row>
    <x:row r="829">
      <x:c r="A829" s="83"/>
      <x:c r="B829" s="83"/>
    </x:row>
    <x:row r="830">
      <x:c r="A830" s="83"/>
      <x:c r="B830" s="83"/>
    </x:row>
    <x:row r="831">
      <x:c r="A831" s="83"/>
      <x:c r="B831" s="83"/>
    </x:row>
    <x:row r="832">
      <x:c r="A832" s="83"/>
      <x:c r="B832" s="83"/>
    </x:row>
    <x:row r="833">
      <x:c r="A833" s="83"/>
      <x:c r="B833" s="83"/>
    </x:row>
    <x:row r="834">
      <x:c r="A834" s="83"/>
      <x:c r="B834" s="83"/>
    </x:row>
    <x:row r="835">
      <x:c r="A835" s="83"/>
      <x:c r="B835" s="83"/>
    </x:row>
    <x:row r="836">
      <x:c r="A836" s="83"/>
      <x:c r="B836" s="83"/>
    </x:row>
    <x:row r="837">
      <x:c r="A837" s="83"/>
      <x:c r="B837" s="83"/>
    </x:row>
    <x:row r="838">
      <x:c r="A838" s="83"/>
      <x:c r="B838" s="83"/>
    </x:row>
    <x:row r="839">
      <x:c r="A839" s="83"/>
      <x:c r="B839" s="83"/>
    </x:row>
    <x:row r="840">
      <x:c r="A840" s="83"/>
      <x:c r="B840" s="83"/>
    </x:row>
    <x:row r="841">
      <x:c r="A841" s="83"/>
      <x:c r="B841" s="83"/>
    </x:row>
    <x:row r="842">
      <x:c r="A842" s="83"/>
      <x:c r="B842" s="83"/>
    </x:row>
    <x:row r="843">
      <x:c r="A843" s="83"/>
      <x:c r="B843" s="83"/>
    </x:row>
    <x:row r="844">
      <x:c r="A844" s="83"/>
      <x:c r="B844" s="83"/>
    </x:row>
    <x:row r="845">
      <x:c r="A845" s="83"/>
      <x:c r="B845" s="83"/>
    </x:row>
    <x:row r="846">
      <x:c r="A846" s="83"/>
      <x:c r="B846" s="83"/>
    </x:row>
    <x:row r="847">
      <x:c r="A847" s="83"/>
      <x:c r="B847" s="83"/>
    </x:row>
    <x:row r="848">
      <x:c r="A848" s="83"/>
      <x:c r="B848" s="83"/>
    </x:row>
    <x:row r="849">
      <x:c r="A849" s="83"/>
      <x:c r="B849" s="83"/>
    </x:row>
    <x:row r="850">
      <x:c r="A850" s="83"/>
      <x:c r="B850" s="83"/>
    </x:row>
    <x:row r="851">
      <x:c r="A851" s="83"/>
      <x:c r="B851" s="83"/>
    </x:row>
    <x:row r="852">
      <x:c r="A852" s="83"/>
      <x:c r="B852" s="83"/>
    </x:row>
    <x:row r="853">
      <x:c r="A853" s="83"/>
      <x:c r="B853" s="83"/>
    </x:row>
    <x:row r="854">
      <x:c r="A854" s="83"/>
      <x:c r="B854" s="83"/>
    </x:row>
    <x:row r="855">
      <x:c r="A855" s="83"/>
      <x:c r="B855" s="83"/>
    </x:row>
    <x:row r="856">
      <x:c r="A856" s="83"/>
      <x:c r="B856" s="83"/>
    </x:row>
    <x:row r="857">
      <x:c r="A857" s="83"/>
      <x:c r="B857" s="83"/>
    </x:row>
    <x:row r="858">
      <x:c r="A858" s="83"/>
      <x:c r="B858" s="83"/>
    </x:row>
    <x:row r="859">
      <x:c r="A859" s="83"/>
      <x:c r="B859" s="83"/>
    </x:row>
    <x:row r="860">
      <x:c r="A860" s="83"/>
      <x:c r="B860" s="83"/>
    </x:row>
    <x:row r="861">
      <x:c r="A861" s="83"/>
      <x:c r="B861" s="83"/>
    </x:row>
    <x:row r="862">
      <x:c r="A862" s="83"/>
      <x:c r="B862" s="83"/>
    </x:row>
    <x:row r="863">
      <x:c r="A863" s="83"/>
      <x:c r="B863" s="83"/>
    </x:row>
    <x:row r="864">
      <x:c r="A864" s="83"/>
      <x:c r="B864" s="83"/>
    </x:row>
    <x:row r="865">
      <x:c r="A865" s="83"/>
      <x:c r="B865" s="83"/>
    </x:row>
    <x:row r="866">
      <x:c r="A866" s="83"/>
      <x:c r="B866" s="83"/>
    </x:row>
    <x:row r="867">
      <x:c r="A867" s="83"/>
      <x:c r="B867" s="83"/>
    </x:row>
    <x:row r="868">
      <x:c r="A868" s="83"/>
      <x:c r="B868" s="83"/>
    </x:row>
    <x:row r="869">
      <x:c r="A869" s="83"/>
      <x:c r="B869" s="83"/>
    </x:row>
    <x:row r="870">
      <x:c r="A870" s="83"/>
      <x:c r="B870" s="83"/>
    </x:row>
    <x:row r="871">
      <x:c r="A871" s="83"/>
      <x:c r="B871" s="83"/>
    </x:row>
    <x:row r="872">
      <x:c r="A872" s="83"/>
      <x:c r="B872" s="83"/>
    </x:row>
    <x:row r="873">
      <x:c r="A873" s="83"/>
      <x:c r="B873" s="83"/>
    </x:row>
    <x:row r="874">
      <x:c r="A874" s="83"/>
      <x:c r="B874" s="83"/>
    </x:row>
    <x:row r="875">
      <x:c r="A875" s="83"/>
      <x:c r="B875" s="83"/>
    </x:row>
    <x:row r="876">
      <x:c r="A876" s="83"/>
      <x:c r="B876" s="83"/>
    </x:row>
    <x:row r="877">
      <x:c r="A877" s="83"/>
      <x:c r="B877" s="83"/>
    </x:row>
    <x:row r="878">
      <x:c r="A878" s="83"/>
      <x:c r="B878" s="83"/>
    </x:row>
    <x:row r="879">
      <x:c r="A879" s="83"/>
      <x:c r="B879" s="83"/>
    </x:row>
    <x:row r="880">
      <x:c r="A880" s="83"/>
      <x:c r="B880" s="83"/>
    </x:row>
    <x:row r="881">
      <x:c r="A881" s="83"/>
      <x:c r="B881" s="83"/>
    </x:row>
    <x:row r="882">
      <x:c r="A882" s="83"/>
      <x:c r="B882" s="83"/>
    </x:row>
    <x:row r="883">
      <x:c r="A883" s="83"/>
      <x:c r="B883" s="83"/>
    </x:row>
    <x:row r="884">
      <x:c r="A884" s="83"/>
      <x:c r="B884" s="83"/>
    </x:row>
    <x:row r="885">
      <x:c r="A885" s="83"/>
      <x:c r="B885" s="83"/>
    </x:row>
    <x:row r="886">
      <x:c r="A886" s="83"/>
      <x:c r="B886" s="83"/>
    </x:row>
    <x:row r="887">
      <x:c r="A887" s="83"/>
      <x:c r="B887" s="83"/>
    </x:row>
    <x:row r="888">
      <x:c r="A888" s="83"/>
      <x:c r="B888" s="83"/>
    </x:row>
    <x:row r="889">
      <x:c r="A889" s="83"/>
      <x:c r="B889" s="83"/>
    </x:row>
    <x:row r="890">
      <x:c r="A890" s="83"/>
      <x:c r="B890" s="83"/>
    </x:row>
    <x:row r="891">
      <x:c r="A891" s="83"/>
      <x:c r="B891" s="83"/>
    </x:row>
    <x:row r="892">
      <x:c r="A892" s="83"/>
      <x:c r="B892" s="83"/>
    </x:row>
    <x:row r="893">
      <x:c r="A893" s="83"/>
      <x:c r="B893" s="83"/>
    </x:row>
    <x:row r="894">
      <x:c r="A894" s="83"/>
      <x:c r="B894" s="83"/>
    </x:row>
    <x:row r="895">
      <x:c r="A895" s="83"/>
      <x:c r="B895" s="83"/>
    </x:row>
    <x:row r="896">
      <x:c r="A896" s="83"/>
      <x:c r="B896" s="83"/>
    </x:row>
    <x:row r="897">
      <x:c r="A897" s="83"/>
      <x:c r="B897" s="83"/>
    </x:row>
    <x:row r="898">
      <x:c r="A898" s="83"/>
      <x:c r="B898" s="83"/>
    </x:row>
    <x:row r="899">
      <x:c r="A899" s="83"/>
      <x:c r="B899" s="83"/>
    </x:row>
    <x:row r="900">
      <x:c r="A900" s="83"/>
      <x:c r="B900" s="83"/>
    </x:row>
    <x:row r="901">
      <x:c r="A901" s="83"/>
      <x:c r="B901" s="83"/>
    </x:row>
    <x:row r="902">
      <x:c r="A902" s="83"/>
      <x:c r="B902" s="83"/>
    </x:row>
    <x:row r="903">
      <x:c r="A903" s="83"/>
      <x:c r="B903" s="83"/>
    </x:row>
    <x:row r="904">
      <x:c r="A904" s="83"/>
      <x:c r="B904" s="83"/>
    </x:row>
    <x:row r="905">
      <x:c r="A905" s="83"/>
      <x:c r="B905" s="83"/>
    </x:row>
    <x:row r="906">
      <x:c r="A906" s="83"/>
      <x:c r="B906" s="83"/>
    </x:row>
    <x:row r="907">
      <x:c r="A907" s="83"/>
      <x:c r="B907" s="83"/>
    </x:row>
    <x:row r="908">
      <x:c r="A908" s="83"/>
      <x:c r="B908" s="83"/>
    </x:row>
    <x:row r="909">
      <x:c r="A909" s="83"/>
      <x:c r="B909" s="83"/>
    </x:row>
    <x:row r="910">
      <x:c r="A910" s="83"/>
      <x:c r="B910" s="83"/>
    </x:row>
    <x:row r="911">
      <x:c r="A911" s="83"/>
      <x:c r="B911" s="83"/>
    </x:row>
    <x:row r="912">
      <x:c r="A912" s="83"/>
      <x:c r="B912" s="83"/>
    </x:row>
    <x:row r="913">
      <x:c r="A913" s="83"/>
      <x:c r="B913" s="83"/>
    </x:row>
    <x:row r="914">
      <x:c r="A914" s="83"/>
      <x:c r="B914" s="83"/>
    </x:row>
    <x:row r="915">
      <x:c r="A915" s="83"/>
      <x:c r="B915" s="83"/>
    </x:row>
    <x:row r="916">
      <x:c r="A916" s="83"/>
      <x:c r="B916" s="83"/>
    </x:row>
    <x:row r="917">
      <x:c r="A917" s="83"/>
      <x:c r="B917" s="83"/>
    </x:row>
    <x:row r="918">
      <x:c r="A918" s="83"/>
      <x:c r="B918" s="83"/>
    </x:row>
    <x:row r="919">
      <x:c r="A919" s="83"/>
      <x:c r="B919" s="83"/>
    </x:row>
    <x:row r="920">
      <x:c r="A920" s="83"/>
      <x:c r="B920" s="83"/>
    </x:row>
    <x:row r="921">
      <x:c r="A921" s="83"/>
      <x:c r="B921" s="83"/>
    </x:row>
    <x:row r="922">
      <x:c r="A922" s="83"/>
      <x:c r="B922" s="83"/>
    </x:row>
    <x:row r="923">
      <x:c r="A923" s="83"/>
      <x:c r="B923" s="83"/>
    </x:row>
    <x:row r="924">
      <x:c r="A924" s="83"/>
      <x:c r="B924" s="83"/>
    </x:row>
    <x:row r="925">
      <x:c r="A925" s="83"/>
      <x:c r="B925" s="83"/>
    </x:row>
    <x:row r="926">
      <x:c r="A926" s="83"/>
      <x:c r="B926" s="83"/>
    </x:row>
    <x:row r="927">
      <x:c r="A927" s="83"/>
      <x:c r="B927" s="83"/>
    </x:row>
    <x:row r="928">
      <x:c r="A928" s="83"/>
      <x:c r="B928" s="83"/>
    </x:row>
    <x:row r="929">
      <x:c r="A929" s="83"/>
      <x:c r="B929" s="83"/>
    </x:row>
    <x:row r="930">
      <x:c r="A930" s="83"/>
      <x:c r="B930" s="83"/>
    </x:row>
    <x:row r="931">
      <x:c r="A931" s="83"/>
      <x:c r="B931" s="83"/>
    </x:row>
    <x:row r="932">
      <x:c r="A932" s="83"/>
      <x:c r="B932" s="83"/>
    </x:row>
    <x:row r="933">
      <x:c r="A933" s="83"/>
      <x:c r="B933" s="83"/>
    </x:row>
    <x:row r="934">
      <x:c r="A934" s="83"/>
      <x:c r="B934" s="83"/>
    </x:row>
    <x:row r="935">
      <x:c r="A935" s="83"/>
      <x:c r="B935" s="83"/>
    </x:row>
    <x:row r="936">
      <x:c r="A936" s="83"/>
      <x:c r="B936" s="83"/>
    </x:row>
    <x:row r="937">
      <x:c r="A937" s="83"/>
      <x:c r="B937" s="83"/>
    </x:row>
    <x:row r="938">
      <x:c r="A938" s="83"/>
      <x:c r="B938" s="83"/>
    </x:row>
    <x:row r="939">
      <x:c r="A939" s="83"/>
      <x:c r="B939" s="83"/>
    </x:row>
    <x:row r="940">
      <x:c r="A940" s="83"/>
      <x:c r="B940" s="83"/>
    </x:row>
    <x:row r="941">
      <x:c r="A941" s="83"/>
      <x:c r="B941" s="83"/>
    </x:row>
    <x:row r="942">
      <x:c r="A942" s="83"/>
      <x:c r="B942" s="83"/>
    </x:row>
    <x:row r="943">
      <x:c r="A943" s="83"/>
      <x:c r="B943" s="83"/>
    </x:row>
    <x:row r="944">
      <x:c r="A944" s="83"/>
      <x:c r="B944" s="83"/>
    </x:row>
    <x:row r="945">
      <x:c r="A945" s="83"/>
      <x:c r="B945" s="83"/>
    </x:row>
    <x:row r="946">
      <x:c r="A946" s="83"/>
      <x:c r="B946" s="83"/>
    </x:row>
    <x:row r="947">
      <x:c r="A947" s="83"/>
      <x:c r="B947" s="83"/>
    </x:row>
    <x:row r="948">
      <x:c r="A948" s="83"/>
      <x:c r="B948" s="83"/>
    </x:row>
    <x:row r="949">
      <x:c r="A949" s="83"/>
      <x:c r="B949" s="83"/>
    </x:row>
    <x:row r="950">
      <x:c r="A950" s="83"/>
      <x:c r="B950" s="83"/>
    </x:row>
    <x:row r="951">
      <x:c r="A951" s="83"/>
      <x:c r="B951" s="83"/>
    </x:row>
    <x:row r="952">
      <x:c r="A952" s="83"/>
      <x:c r="B952" s="83"/>
    </x:row>
    <x:row r="953">
      <x:c r="A953" s="83"/>
      <x:c r="B953" s="83"/>
    </x:row>
    <x:row r="954">
      <x:c r="A954" s="83"/>
      <x:c r="B954" s="83"/>
    </x:row>
    <x:row r="955">
      <x:c r="A955" s="83"/>
      <x:c r="B955" s="83"/>
    </x:row>
    <x:row r="956">
      <x:c r="A956" s="83"/>
      <x:c r="B956" s="83"/>
    </x:row>
    <x:row r="957">
      <x:c r="A957" s="83"/>
      <x:c r="B957" s="83"/>
    </x:row>
    <x:row r="958">
      <x:c r="A958" s="83"/>
      <x:c r="B958" s="83"/>
    </x:row>
    <x:row r="959">
      <x:c r="A959" s="83"/>
      <x:c r="B959" s="83"/>
    </x:row>
    <x:row r="960">
      <x:c r="A960" s="83"/>
      <x:c r="B960" s="83"/>
    </x:row>
    <x:row r="961">
      <x:c r="A961" s="83"/>
      <x:c r="B961" s="83"/>
    </x:row>
    <x:row r="962">
      <x:c r="A962" s="83"/>
      <x:c r="B962" s="83"/>
    </x:row>
    <x:row r="963">
      <x:c r="A963" s="83"/>
      <x:c r="B963" s="83"/>
    </x:row>
    <x:row r="964">
      <x:c r="A964" s="83"/>
      <x:c r="B964" s="83"/>
    </x:row>
    <x:row r="965">
      <x:c r="A965" s="83"/>
      <x:c r="B965" s="83"/>
    </x:row>
    <x:row r="966">
      <x:c r="A966" s="83"/>
      <x:c r="B966" s="83"/>
    </x:row>
    <x:row r="967">
      <x:c r="A967" s="83"/>
      <x:c r="B967" s="83"/>
    </x:row>
    <x:row r="968">
      <x:c r="A968" s="83"/>
      <x:c r="B968" s="83"/>
    </x:row>
    <x:row r="969">
      <x:c r="A969" s="83"/>
      <x:c r="B969" s="83"/>
    </x:row>
    <x:row r="970">
      <x:c r="A970" s="83"/>
      <x:c r="B970" s="83"/>
    </x:row>
    <x:row r="971">
      <x:c r="A971" s="83"/>
      <x:c r="B971" s="83"/>
    </x:row>
    <x:row r="972">
      <x:c r="A972" s="83"/>
      <x:c r="B972" s="83"/>
    </x:row>
    <x:row r="973">
      <x:c r="A973" s="83"/>
      <x:c r="B973" s="83"/>
    </x:row>
    <x:row r="974">
      <x:c r="A974" s="83"/>
      <x:c r="B974" s="83"/>
    </x:row>
    <x:row r="975">
      <x:c r="A975" s="83"/>
      <x:c r="B975" s="83"/>
    </x:row>
    <x:row r="976">
      <x:c r="A976" s="83"/>
      <x:c r="B976" s="83"/>
    </x:row>
    <x:row r="977">
      <x:c r="A977" s="83"/>
      <x:c r="B977" s="83"/>
    </x:row>
    <x:row r="978">
      <x:c r="A978" s="83"/>
      <x:c r="B978" s="83"/>
    </x:row>
    <x:row r="979">
      <x:c r="A979" s="83"/>
      <x:c r="B979" s="83"/>
    </x:row>
    <x:row r="980">
      <x:c r="A980" s="83"/>
      <x:c r="B980" s="83"/>
    </x:row>
    <x:row r="981">
      <x:c r="A981" s="83"/>
      <x:c r="B981" s="83"/>
    </x:row>
    <x:row r="982">
      <x:c r="A982" s="83"/>
      <x:c r="B982" s="83"/>
    </x:row>
    <x:row r="983">
      <x:c r="A983" s="83"/>
      <x:c r="B983" s="83"/>
    </x:row>
    <x:row r="984">
      <x:c r="A984" s="83"/>
      <x:c r="B984" s="83"/>
    </x:row>
    <x:row r="985">
      <x:c r="A985" s="83"/>
      <x:c r="B985" s="83"/>
    </x:row>
    <x:row r="986">
      <x:c r="A986" s="83"/>
      <x:c r="B986" s="83"/>
    </x:row>
    <x:row r="987">
      <x:c r="A987" s="83"/>
      <x:c r="B987" s="83"/>
    </x:row>
    <x:row r="988">
      <x:c r="A988" s="83"/>
      <x:c r="B988" s="83"/>
    </x:row>
    <x:row r="989">
      <x:c r="A989" s="83"/>
      <x:c r="B989" s="83"/>
    </x:row>
    <x:row r="990">
      <x:c r="A990" s="83"/>
      <x:c r="B990" s="83"/>
    </x:row>
    <x:row r="991">
      <x:c r="A991" s="83"/>
      <x:c r="B991" s="83"/>
    </x:row>
    <x:row r="992">
      <x:c r="A992" s="83"/>
      <x:c r="B992" s="83"/>
    </x:row>
    <x:row r="993">
      <x:c r="A993" s="83"/>
      <x:c r="B993" s="83"/>
    </x:row>
    <x:row r="994">
      <x:c r="A994" s="83"/>
      <x:c r="B994" s="83"/>
    </x:row>
    <x:row r="995">
      <x:c r="A995" s="83"/>
      <x:c r="B995" s="83"/>
    </x:row>
    <x:row r="996">
      <x:c r="A996" s="83"/>
      <x:c r="B996" s="83"/>
    </x:row>
    <x:row r="997">
      <x:c r="A997" s="83"/>
      <x:c r="B997" s="83"/>
    </x:row>
    <x:row r="998">
      <x:c r="A998" s="83"/>
      <x:c r="B998" s="83"/>
    </x:row>
    <x:row r="999">
      <x:c r="A999" s="83"/>
      <x:c r="B999" s="83"/>
    </x:row>
    <x:row r="1000">
      <x:c r="A1000" s="83"/>
      <x:c r="B1000" s="83"/>
    </x:row>
    <x:row r="1001">
      <x:c r="A1001" s="83"/>
      <x:c r="B1001" s="83"/>
    </x:row>
    <x:row r="1002" ht="15.75" customHeight="1">
      <x:c r="A1002" s="83"/>
      <x:c r="B1002" s="83"/>
    </x:row>
  </x:sheetData>
  <x:mergeCells>
    <x:mergeCell ref="A1:D1"/>
  </x:mergeCells>
  <x:pageMargins left="0.7" right="0.7" top="0.75" bottom="0.75" header="0.3" footer="0.3"/>
</x:worksheet>
</file>